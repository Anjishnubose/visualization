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is\Documents\visualization\02_activities\assignments\Assignment_3\"/>
    </mc:Choice>
  </mc:AlternateContent>
  <xr:revisionPtr revIDLastSave="0" documentId="13_ncr:1_{4589EF70-D097-40CD-B1FF-6A928A34F773}" xr6:coauthVersionLast="47" xr6:coauthVersionMax="47" xr10:uidLastSave="{00000000-0000-0000-0000-000000000000}"/>
  <bookViews>
    <workbookView xWindow="-108" yWindow="-108" windowWidth="23256" windowHeight="12576" xr2:uid="{F1FFD547-4BA9-4BFE-A0C6-015F600E7E96}"/>
  </bookViews>
  <sheets>
    <sheet name="Lead_Sample_cleaned" sheetId="2" r:id="rId1"/>
    <sheet name="Sheet1" sheetId="1" r:id="rId2"/>
  </sheets>
  <definedNames>
    <definedName name="ExternalData_1" localSheetId="0" hidden="1">Lead_Sample_cleaned!$A$1:$G$96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D74" i="2"/>
  <c r="D67" i="2"/>
  <c r="D48" i="2"/>
  <c r="D92" i="2"/>
  <c r="D53" i="2"/>
  <c r="D91" i="2"/>
  <c r="D52" i="2"/>
  <c r="D45" i="2"/>
  <c r="D34" i="2"/>
  <c r="D73" i="2"/>
  <c r="D87" i="2"/>
  <c r="D42" i="2"/>
  <c r="D62" i="2"/>
  <c r="D75" i="2"/>
  <c r="D93" i="2"/>
  <c r="D41" i="2"/>
  <c r="D94" i="2"/>
  <c r="D64" i="2"/>
  <c r="D90" i="2"/>
  <c r="D43" i="2"/>
  <c r="D54" i="2"/>
  <c r="D66" i="2"/>
  <c r="D60" i="2"/>
  <c r="D61" i="2"/>
  <c r="D82" i="2"/>
  <c r="D79" i="2"/>
  <c r="D84" i="2"/>
  <c r="D72" i="2"/>
  <c r="D47" i="2"/>
  <c r="D88" i="2"/>
  <c r="D95" i="2"/>
  <c r="D50" i="2"/>
  <c r="D56" i="2"/>
  <c r="D83" i="2"/>
  <c r="D80" i="2"/>
  <c r="D12" i="2"/>
  <c r="D18" i="2"/>
  <c r="D32" i="2"/>
  <c r="D15" i="2"/>
  <c r="D24" i="2"/>
  <c r="D5" i="2"/>
  <c r="D6" i="2"/>
  <c r="D19" i="2"/>
  <c r="D9" i="2"/>
  <c r="D8" i="2"/>
  <c r="D7" i="2"/>
  <c r="D14" i="2"/>
  <c r="D20" i="2"/>
  <c r="D30" i="2"/>
  <c r="D21" i="2"/>
  <c r="D38" i="2"/>
  <c r="D17" i="2"/>
  <c r="D37" i="2"/>
  <c r="D63" i="2"/>
  <c r="D59" i="2"/>
  <c r="D10" i="2"/>
  <c r="D2" i="2"/>
  <c r="D57" i="2"/>
  <c r="D22" i="2"/>
  <c r="D29" i="2"/>
  <c r="D39" i="2"/>
  <c r="D35" i="2"/>
  <c r="D40" i="2"/>
  <c r="D36" i="2"/>
  <c r="D33" i="2"/>
  <c r="D96" i="2"/>
  <c r="D71" i="2"/>
  <c r="D31" i="2"/>
  <c r="D3" i="2"/>
  <c r="D23" i="2"/>
  <c r="D16" i="2"/>
  <c r="D11" i="2"/>
  <c r="D13" i="2"/>
  <c r="D89" i="2"/>
  <c r="D28" i="2"/>
  <c r="D4" i="2"/>
  <c r="D26" i="2"/>
  <c r="D27" i="2"/>
  <c r="D25" i="2"/>
  <c r="D76" i="2"/>
  <c r="D46" i="2"/>
  <c r="D44" i="2"/>
  <c r="D69" i="2"/>
  <c r="D86" i="2"/>
  <c r="D78" i="2"/>
  <c r="D81" i="2"/>
  <c r="D68" i="2"/>
  <c r="D70" i="2"/>
  <c r="D65" i="2"/>
  <c r="D49" i="2"/>
  <c r="D58" i="2"/>
  <c r="D77" i="2"/>
  <c r="D85" i="2"/>
  <c r="D5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00B89F-E003-4E86-B97C-04D0093C962E}" keepAlive="1" name="Query - Lead_Sample_cleaned" description="Connection to the 'Lead_Sample_cleaned' query in the workbook." type="5" refreshedVersion="8" background="1" saveData="1">
    <dbPr connection="Provider=Microsoft.Mashup.OleDb.1;Data Source=$Workbook$;Location=Lead_Sample_cleaned;Extended Properties=&quot;&quot;" command="SELECT * FROM [Lead_Sample_cleaned]"/>
  </connection>
</connections>
</file>

<file path=xl/sharedStrings.xml><?xml version="1.0" encoding="utf-8"?>
<sst xmlns="http://schemas.openxmlformats.org/spreadsheetml/2006/main" count="197" uniqueCount="197">
  <si>
    <t>PartialPostalCode</t>
  </si>
  <si>
    <t>Lead Amount (ppm)_avg</t>
  </si>
  <si>
    <t>Lead Amount (ppm)_std</t>
  </si>
  <si>
    <t>Latitude</t>
  </si>
  <si>
    <t>Longitude</t>
  </si>
  <si>
    <t>Place name</t>
  </si>
  <si>
    <t>M1B</t>
  </si>
  <si>
    <t>Scarborough (Malvern / Rouge River)</t>
  </si>
  <si>
    <t>M1C</t>
  </si>
  <si>
    <t>Scarborough (Rouge Hill / Port Union / Highland Creek)</t>
  </si>
  <si>
    <t>M1E</t>
  </si>
  <si>
    <t>Scarborough (Guildwood / Morningside / Ellesmere)</t>
  </si>
  <si>
    <t>M1G</t>
  </si>
  <si>
    <t>Scarborough (Woburn)</t>
  </si>
  <si>
    <t>M1H</t>
  </si>
  <si>
    <t>Scarborough (Cedarbrae)</t>
  </si>
  <si>
    <t>M1J</t>
  </si>
  <si>
    <t>Scarborough (Eglinton)</t>
  </si>
  <si>
    <t>M1K</t>
  </si>
  <si>
    <t>Scarborough (Kennedy Park / Ionview / East Birchmount Park)</t>
  </si>
  <si>
    <t>M1L</t>
  </si>
  <si>
    <t>Scarborough (The Golden Mile / Clairlea / Oakridge / Birchmount Park East)</t>
  </si>
  <si>
    <t>M1M</t>
  </si>
  <si>
    <t>Scarborough (Cliffside / Cliffcrest / Scarborough Village West)</t>
  </si>
  <si>
    <t>M1N</t>
  </si>
  <si>
    <t>Scarborough (Birch Cliff / Cliffside West)</t>
  </si>
  <si>
    <t>M1P</t>
  </si>
  <si>
    <t>Scarborough (Dorset Park / Wexford Heights / Scarborough Town Centre)</t>
  </si>
  <si>
    <t>M1R</t>
  </si>
  <si>
    <t>Scarborough (Wexford / Maryvale)</t>
  </si>
  <si>
    <t>M1S</t>
  </si>
  <si>
    <t>Scarborough (Agincourt)</t>
  </si>
  <si>
    <t>M1T</t>
  </si>
  <si>
    <t>Scarborough (Clarks Corners / Tam O'Shanter / Sullivan)</t>
  </si>
  <si>
    <t>M1V</t>
  </si>
  <si>
    <t>Scarborough (Milliken / Agincourt North / Steeles East / L'Amoreaux East)</t>
  </si>
  <si>
    <t>M1W</t>
  </si>
  <si>
    <t>Scarborough (Steeles West / L'Amoreaux West)</t>
  </si>
  <si>
    <t>M1X</t>
  </si>
  <si>
    <t>Scarborough (Upper Rouge)</t>
  </si>
  <si>
    <t>M2H</t>
  </si>
  <si>
    <t>North York (Hillcrest Village)</t>
  </si>
  <si>
    <t>M2J</t>
  </si>
  <si>
    <t>North York (Fairview / Henry Farm / Oriole)</t>
  </si>
  <si>
    <t>M2K</t>
  </si>
  <si>
    <t>North York (Bayview Village)</t>
  </si>
  <si>
    <t>M2L</t>
  </si>
  <si>
    <t>North York (York Mills / Silver Hills)</t>
  </si>
  <si>
    <t>M2M</t>
  </si>
  <si>
    <t>Willowdale East (Newtonbrook)</t>
  </si>
  <si>
    <t>M2N</t>
  </si>
  <si>
    <t>Willowdale South</t>
  </si>
  <si>
    <t>M2P</t>
  </si>
  <si>
    <t>North York (York Mills West)</t>
  </si>
  <si>
    <t>M2R</t>
  </si>
  <si>
    <t>Willowdale West</t>
  </si>
  <si>
    <t>M3A</t>
  </si>
  <si>
    <t>North York (York Heights / Victoria Village / Parkway East)</t>
  </si>
  <si>
    <t>M3B</t>
  </si>
  <si>
    <t>Don Mills North</t>
  </si>
  <si>
    <t>M3C</t>
  </si>
  <si>
    <t>Don Mills South (Flemingdon Park)</t>
  </si>
  <si>
    <t>M3H</t>
  </si>
  <si>
    <t>North York (Armour Heights / Wilson Heights / Downsview North)</t>
  </si>
  <si>
    <t>M3J</t>
  </si>
  <si>
    <t>North York (Northwood Park / York University)</t>
  </si>
  <si>
    <t>M3K</t>
  </si>
  <si>
    <t>Downsview East (CFB Toronto)</t>
  </si>
  <si>
    <t>M3L</t>
  </si>
  <si>
    <t>Downsview West</t>
  </si>
  <si>
    <t>M3M</t>
  </si>
  <si>
    <t>Downsview Central</t>
  </si>
  <si>
    <t>M3N</t>
  </si>
  <si>
    <t>North York (Jane and Finch)</t>
  </si>
  <si>
    <t>M4A</t>
  </si>
  <si>
    <t>North York (Sweeney Park / Wigmore Park)</t>
  </si>
  <si>
    <t>M4B</t>
  </si>
  <si>
    <t>East York (Parkview Hill / Woodbine Gardens)</t>
  </si>
  <si>
    <t>M4C</t>
  </si>
  <si>
    <t>East York (Woodbine Heights)</t>
  </si>
  <si>
    <t>M4E</t>
  </si>
  <si>
    <t>East Toronto (The Beaches)</t>
  </si>
  <si>
    <t>M4G</t>
  </si>
  <si>
    <t>East York (Leaside)</t>
  </si>
  <si>
    <t>M4J</t>
  </si>
  <si>
    <t>East Toronto (The Danforth East)</t>
  </si>
  <si>
    <t>M4K</t>
  </si>
  <si>
    <t>East Toronto (The Danforth West / Riverdale)</t>
  </si>
  <si>
    <t>M4L</t>
  </si>
  <si>
    <t>East Toronto (India Bazaar / The Beaches West)</t>
  </si>
  <si>
    <t>M4M</t>
  </si>
  <si>
    <t>East Toronto (Studio District)</t>
  </si>
  <si>
    <t>M4N</t>
  </si>
  <si>
    <t>Central Toronto (Lawrence Park East)</t>
  </si>
  <si>
    <t>M4P</t>
  </si>
  <si>
    <t>Central Toronto (Davisville North)</t>
  </si>
  <si>
    <t>M4R</t>
  </si>
  <si>
    <t>Central Toronto (North Toronto West)</t>
  </si>
  <si>
    <t>M4S</t>
  </si>
  <si>
    <t>Central Toronto (Davisville)</t>
  </si>
  <si>
    <t>M4T</t>
  </si>
  <si>
    <t>Central Toronto (Moore Park / Summerhill East)</t>
  </si>
  <si>
    <t>M4V</t>
  </si>
  <si>
    <t>Central Toronto (Summerhill West / Rathnelly / South Hill / Forest Hill SE / Deer Park)</t>
  </si>
  <si>
    <t>M4W</t>
  </si>
  <si>
    <t>Downtown Toronto (Rosedale)</t>
  </si>
  <si>
    <t>M4X</t>
  </si>
  <si>
    <t>Downtown Toronto (St. James Town / Cabbagetown)</t>
  </si>
  <si>
    <t>M4Y</t>
  </si>
  <si>
    <t>Downtown Toronto (Church and Wellesley)</t>
  </si>
  <si>
    <t>M5A</t>
  </si>
  <si>
    <t>Toronto</t>
  </si>
  <si>
    <t>M5B</t>
  </si>
  <si>
    <t>Downtown Toronto (Ryerson)</t>
  </si>
  <si>
    <t>M5C</t>
  </si>
  <si>
    <t>Downtown Toronto (St. James Park)</t>
  </si>
  <si>
    <t>M5E</t>
  </si>
  <si>
    <t>Downtown Toronto (Berczy Park)</t>
  </si>
  <si>
    <t>M5G</t>
  </si>
  <si>
    <t>Downtown Toronto (Central Bay Street)</t>
  </si>
  <si>
    <t>M5H</t>
  </si>
  <si>
    <t>Downtown Toronto (Richmond / Adelaide / King)</t>
  </si>
  <si>
    <t>M5J</t>
  </si>
  <si>
    <t>Downtown Toronto (Harbourfront East / Union Station / Toronto Island)</t>
  </si>
  <si>
    <t>M5M</t>
  </si>
  <si>
    <t>North York (Bedford Park / Lawrence Park West / Lawrence Manor East)</t>
  </si>
  <si>
    <t>M5N</t>
  </si>
  <si>
    <t>Central Toronto (Roselawn)</t>
  </si>
  <si>
    <t>M5P</t>
  </si>
  <si>
    <t>Central Toronto (Forest Hill North &amp; West)</t>
  </si>
  <si>
    <t>M5R</t>
  </si>
  <si>
    <t>Central Toronto (The Annex / North Midtown / Yorkville)</t>
  </si>
  <si>
    <t>M5S</t>
  </si>
  <si>
    <t>Downtown Toronto (University of Toronto / Harbord)</t>
  </si>
  <si>
    <t>M5T</t>
  </si>
  <si>
    <t>Downtown Toronto (Kensington Market / Chinatown / Grange Park)</t>
  </si>
  <si>
    <t>M5V</t>
  </si>
  <si>
    <t>Downtown Toronto (CN Tower / King and Spadina / Railway Lands / Harbourfront West / Bathurst Quay / South Niagara / YTZ)</t>
  </si>
  <si>
    <t>M6A</t>
  </si>
  <si>
    <t>North York (Lawrence Manor / Lawrence Heights)</t>
  </si>
  <si>
    <t>M6B</t>
  </si>
  <si>
    <t>North York (Glencairn)</t>
  </si>
  <si>
    <t>M6C</t>
  </si>
  <si>
    <t>York (Cedarvale)</t>
  </si>
  <si>
    <t>M6E</t>
  </si>
  <si>
    <t>York (Fairbank / Oakwood)</t>
  </si>
  <si>
    <t>M6G</t>
  </si>
  <si>
    <t>Downtown Toronto (Christie)</t>
  </si>
  <si>
    <t>M6H</t>
  </si>
  <si>
    <t>West Toronto (Dufferin / Dovercourt Village)</t>
  </si>
  <si>
    <t>M6J</t>
  </si>
  <si>
    <t>West Toronto (Rua Aþores / Trinity)</t>
  </si>
  <si>
    <t>M6K</t>
  </si>
  <si>
    <t>West Toronto (Brockton / Parkdale Village / Exhibition Place)</t>
  </si>
  <si>
    <t>M6L</t>
  </si>
  <si>
    <t>North York (North Park / Maple Leaf Park / Upwood Park)</t>
  </si>
  <si>
    <t>M6M</t>
  </si>
  <si>
    <t>York (Del Ray / Keelsdale / Mount Dennis / Silverthorne)</t>
  </si>
  <si>
    <t>M6N</t>
  </si>
  <si>
    <t>York (Runnymede / The Junction North)</t>
  </si>
  <si>
    <t>M6P</t>
  </si>
  <si>
    <t>West Toronto (High Park / The Junction South)</t>
  </si>
  <si>
    <t>M6R</t>
  </si>
  <si>
    <t>West Toronto (Parkdale / Roncesvalles Village)</t>
  </si>
  <si>
    <t>M6S</t>
  </si>
  <si>
    <t>West Toronto (Bloor West Village / Swansea)</t>
  </si>
  <si>
    <t>M8V</t>
  </si>
  <si>
    <t>Etobicoke (New Toronto / Mimico South / Humber Bay Shores)</t>
  </si>
  <si>
    <t>M8W</t>
  </si>
  <si>
    <t>Etobicoke (Alderwood / Long Branch)</t>
  </si>
  <si>
    <t>M8X</t>
  </si>
  <si>
    <t>Etobicoke (The Kingsway / Montgomery Road / Old Mill North)</t>
  </si>
  <si>
    <t>M8Y</t>
  </si>
  <si>
    <t>Etobicoke (Old Mill South / King's Mill Park / Sunnylea / Humber Bay / Mimico NE / The Queensway East / Royal York South East / Kingsway Park South East)</t>
  </si>
  <si>
    <t>M8Z</t>
  </si>
  <si>
    <t>Etobicoke (Mimico NW / The Queensway West / South of Bloor / Kingsway Park South West / Royal York South West)</t>
  </si>
  <si>
    <t>M9A</t>
  </si>
  <si>
    <t>Etobicoke (Islington Avenue)</t>
  </si>
  <si>
    <t>M9B</t>
  </si>
  <si>
    <t>Etobicoke (West Deane Park / Princess Gardens / Martin Grove / Islington / Cloverdale)</t>
  </si>
  <si>
    <t>M9C</t>
  </si>
  <si>
    <t>Etobicoke (Eringate / Bloordale Gardens / Old Burnhamthorpe / Markland Woods)</t>
  </si>
  <si>
    <t>M9L</t>
  </si>
  <si>
    <t>North York (Humber Summit)</t>
  </si>
  <si>
    <t>M9M</t>
  </si>
  <si>
    <t>North York (Humberlea / Emery)</t>
  </si>
  <si>
    <t>M9N</t>
  </si>
  <si>
    <t>Weston</t>
  </si>
  <si>
    <t>M9P</t>
  </si>
  <si>
    <t>Etobicoke (Westmount)</t>
  </si>
  <si>
    <t>M9R</t>
  </si>
  <si>
    <t>Etobicoke (Kingsview Village / St. Phillips / Martin Grove Gardens / Richview Gardens)</t>
  </si>
  <si>
    <t>M9V</t>
  </si>
  <si>
    <t>Etobicoke (South Steeles / Silverstone / Humbergate / Jamestown / Mount Olive / Beaumond Heights / Thistletown / Albion Gardens)</t>
  </si>
  <si>
    <t>M9W</t>
  </si>
  <si>
    <t>Etobicoke Northwest (Clairville / Humberwood / Woodbine Downs / West Humber / Kipling Heights / Rexdale / Elms / Tandridge / Old Rexdale)</t>
  </si>
  <si>
    <t>LogValue :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</si>
</sst>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Lead_Sample_cleaned!$B$1</c:f>
              <c:strCache>
                <c:ptCount val="1"/>
                <c:pt idx="0">
                  <c:v>Lead Amount (ppm)_avg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Lead_Sample_cleaned!$A$2:$A$96</c:f>
              <c:strCache>
                <c:ptCount val="95"/>
                <c:pt idx="0">
                  <c:v>M5H</c:v>
                </c:pt>
                <c:pt idx="1">
                  <c:v>M6E</c:v>
                </c:pt>
                <c:pt idx="2">
                  <c:v>M6N</c:v>
                </c:pt>
                <c:pt idx="3">
                  <c:v>M4L</c:v>
                </c:pt>
                <c:pt idx="4">
                  <c:v>M4M</c:v>
                </c:pt>
                <c:pt idx="5">
                  <c:v>M4S</c:v>
                </c:pt>
                <c:pt idx="6">
                  <c:v>M4R</c:v>
                </c:pt>
                <c:pt idx="7">
                  <c:v>M4P</c:v>
                </c:pt>
                <c:pt idx="8">
                  <c:v>M5G</c:v>
                </c:pt>
                <c:pt idx="9">
                  <c:v>M6J</c:v>
                </c:pt>
                <c:pt idx="10">
                  <c:v>M4C</c:v>
                </c:pt>
                <c:pt idx="11">
                  <c:v>M6K</c:v>
                </c:pt>
                <c:pt idx="12">
                  <c:v>M4T</c:v>
                </c:pt>
                <c:pt idx="13">
                  <c:v>M4J</c:v>
                </c:pt>
                <c:pt idx="14">
                  <c:v>M6H</c:v>
                </c:pt>
                <c:pt idx="15">
                  <c:v>M5A</c:v>
                </c:pt>
                <c:pt idx="16">
                  <c:v>M4E</c:v>
                </c:pt>
                <c:pt idx="17">
                  <c:v>M4N</c:v>
                </c:pt>
                <c:pt idx="18">
                  <c:v>M4V</c:v>
                </c:pt>
                <c:pt idx="19">
                  <c:v>M4X</c:v>
                </c:pt>
                <c:pt idx="20">
                  <c:v>M5M</c:v>
                </c:pt>
                <c:pt idx="21">
                  <c:v>M6G</c:v>
                </c:pt>
                <c:pt idx="22">
                  <c:v>M4K</c:v>
                </c:pt>
                <c:pt idx="23">
                  <c:v>M6S</c:v>
                </c:pt>
                <c:pt idx="24">
                  <c:v>M6P</c:v>
                </c:pt>
                <c:pt idx="25">
                  <c:v>M6R</c:v>
                </c:pt>
                <c:pt idx="26">
                  <c:v>M6M</c:v>
                </c:pt>
                <c:pt idx="27">
                  <c:v>M5N</c:v>
                </c:pt>
                <c:pt idx="28">
                  <c:v>M4W</c:v>
                </c:pt>
                <c:pt idx="29">
                  <c:v>M6C</c:v>
                </c:pt>
                <c:pt idx="30">
                  <c:v>M4G</c:v>
                </c:pt>
                <c:pt idx="31">
                  <c:v>M5V</c:v>
                </c:pt>
                <c:pt idx="32">
                  <c:v>M1N</c:v>
                </c:pt>
                <c:pt idx="33">
                  <c:v>M5R</c:v>
                </c:pt>
                <c:pt idx="34">
                  <c:v>M5T</c:v>
                </c:pt>
                <c:pt idx="35">
                  <c:v>M5B</c:v>
                </c:pt>
                <c:pt idx="36">
                  <c:v>M4Y</c:v>
                </c:pt>
                <c:pt idx="37">
                  <c:v>M5P</c:v>
                </c:pt>
                <c:pt idx="38">
                  <c:v>M5S</c:v>
                </c:pt>
                <c:pt idx="39">
                  <c:v>M1X</c:v>
                </c:pt>
                <c:pt idx="40">
                  <c:v>M1S</c:v>
                </c:pt>
                <c:pt idx="41">
                  <c:v>M2L</c:v>
                </c:pt>
                <c:pt idx="42">
                  <c:v>M8X</c:v>
                </c:pt>
                <c:pt idx="43">
                  <c:v>M1M</c:v>
                </c:pt>
                <c:pt idx="44">
                  <c:v>M8W</c:v>
                </c:pt>
                <c:pt idx="45">
                  <c:v>M3J</c:v>
                </c:pt>
                <c:pt idx="46">
                  <c:v>M1G</c:v>
                </c:pt>
                <c:pt idx="47">
                  <c:v>M9N</c:v>
                </c:pt>
                <c:pt idx="48">
                  <c:v>M3M</c:v>
                </c:pt>
                <c:pt idx="49">
                  <c:v>M1B</c:v>
                </c:pt>
                <c:pt idx="50">
                  <c:v>M1L</c:v>
                </c:pt>
                <c:pt idx="51">
                  <c:v>M1J</c:v>
                </c:pt>
                <c:pt idx="52">
                  <c:v>M2M</c:v>
                </c:pt>
                <c:pt idx="53">
                  <c:v>M9W</c:v>
                </c:pt>
                <c:pt idx="54">
                  <c:v>M3N</c:v>
                </c:pt>
                <c:pt idx="55">
                  <c:v>M5J</c:v>
                </c:pt>
                <c:pt idx="56">
                  <c:v>M9P</c:v>
                </c:pt>
                <c:pt idx="57">
                  <c:v>M5E</c:v>
                </c:pt>
                <c:pt idx="58">
                  <c:v>M2P</c:v>
                </c:pt>
                <c:pt idx="59">
                  <c:v>M2R</c:v>
                </c:pt>
                <c:pt idx="60">
                  <c:v>M1T</c:v>
                </c:pt>
                <c:pt idx="61">
                  <c:v>M5C</c:v>
                </c:pt>
                <c:pt idx="62">
                  <c:v>M2J</c:v>
                </c:pt>
                <c:pt idx="63">
                  <c:v>M9M</c:v>
                </c:pt>
                <c:pt idx="64">
                  <c:v>M2N</c:v>
                </c:pt>
                <c:pt idx="65">
                  <c:v>M1E</c:v>
                </c:pt>
                <c:pt idx="66">
                  <c:v>M9C</c:v>
                </c:pt>
                <c:pt idx="67">
                  <c:v>M8Y</c:v>
                </c:pt>
                <c:pt idx="68">
                  <c:v>M9L</c:v>
                </c:pt>
                <c:pt idx="69">
                  <c:v>M6B</c:v>
                </c:pt>
                <c:pt idx="70">
                  <c:v>M3H</c:v>
                </c:pt>
                <c:pt idx="71">
                  <c:v>M1P</c:v>
                </c:pt>
                <c:pt idx="72">
                  <c:v>M1C</c:v>
                </c:pt>
                <c:pt idx="73">
                  <c:v>M1V</c:v>
                </c:pt>
                <c:pt idx="74">
                  <c:v>M8V</c:v>
                </c:pt>
                <c:pt idx="75">
                  <c:v>M9R</c:v>
                </c:pt>
                <c:pt idx="76">
                  <c:v>M9A</c:v>
                </c:pt>
                <c:pt idx="77">
                  <c:v>M3B</c:v>
                </c:pt>
                <c:pt idx="78">
                  <c:v>M4B</c:v>
                </c:pt>
                <c:pt idx="79">
                  <c:v>M9B</c:v>
                </c:pt>
                <c:pt idx="80">
                  <c:v>M3A</c:v>
                </c:pt>
                <c:pt idx="81">
                  <c:v>M4A</c:v>
                </c:pt>
                <c:pt idx="82">
                  <c:v>M3C</c:v>
                </c:pt>
                <c:pt idx="83">
                  <c:v>M9V</c:v>
                </c:pt>
                <c:pt idx="84">
                  <c:v>M8Z</c:v>
                </c:pt>
                <c:pt idx="85">
                  <c:v>M1R</c:v>
                </c:pt>
                <c:pt idx="86">
                  <c:v>M3K</c:v>
                </c:pt>
                <c:pt idx="87">
                  <c:v>M6L</c:v>
                </c:pt>
                <c:pt idx="88">
                  <c:v>M2K</c:v>
                </c:pt>
                <c:pt idx="89">
                  <c:v>M1K</c:v>
                </c:pt>
                <c:pt idx="90">
                  <c:v>M1H</c:v>
                </c:pt>
                <c:pt idx="91">
                  <c:v>M1W</c:v>
                </c:pt>
                <c:pt idx="92">
                  <c:v>M2H</c:v>
                </c:pt>
                <c:pt idx="93">
                  <c:v>M3L</c:v>
                </c:pt>
                <c:pt idx="94">
                  <c:v>M6A</c:v>
                </c:pt>
              </c:strCache>
            </c:strRef>
          </c:cat>
          <c:val>
            <c:numRef>
              <c:f>Lead_Sample_cleaned!$B$2:$B$96</c:f>
              <c:numCache>
                <c:formatCode>General</c:formatCode>
                <c:ptCount val="95"/>
                <c:pt idx="0">
                  <c:v>2.1644500000000001E-3</c:v>
                </c:pt>
                <c:pt idx="1">
                  <c:v>8.4500000000000005E-4</c:v>
                </c:pt>
                <c:pt idx="2">
                  <c:v>7.2999999999999996E-4</c:v>
                </c:pt>
                <c:pt idx="3">
                  <c:v>7.2449999999999999E-4</c:v>
                </c:pt>
                <c:pt idx="4">
                  <c:v>6.4599999999999998E-4</c:v>
                </c:pt>
                <c:pt idx="5">
                  <c:v>6.4199999999999999E-4</c:v>
                </c:pt>
                <c:pt idx="6">
                  <c:v>6.0099999999999997E-4</c:v>
                </c:pt>
                <c:pt idx="7">
                  <c:v>5.8100000000000003E-4</c:v>
                </c:pt>
                <c:pt idx="8">
                  <c:v>5.1500000000000005E-4</c:v>
                </c:pt>
                <c:pt idx="9">
                  <c:v>5.1500000000000005E-4</c:v>
                </c:pt>
                <c:pt idx="10">
                  <c:v>5.0799999999999999E-4</c:v>
                </c:pt>
                <c:pt idx="11">
                  <c:v>5.04E-4</c:v>
                </c:pt>
                <c:pt idx="12">
                  <c:v>4.3600000000000003E-4</c:v>
                </c:pt>
                <c:pt idx="13">
                  <c:v>3.9300000000000001E-4</c:v>
                </c:pt>
                <c:pt idx="14">
                  <c:v>3.6649999999999996E-4</c:v>
                </c:pt>
                <c:pt idx="15">
                  <c:v>3.5500000000000001E-4</c:v>
                </c:pt>
                <c:pt idx="16">
                  <c:v>3.2600000000000001E-4</c:v>
                </c:pt>
                <c:pt idx="17">
                  <c:v>3.1849999999999999E-4</c:v>
                </c:pt>
                <c:pt idx="18">
                  <c:v>3.1300000000000002E-4</c:v>
                </c:pt>
                <c:pt idx="19">
                  <c:v>2.7800000000000004E-4</c:v>
                </c:pt>
                <c:pt idx="20">
                  <c:v>2.6899999999999998E-4</c:v>
                </c:pt>
                <c:pt idx="21">
                  <c:v>2.6200000000000003E-4</c:v>
                </c:pt>
                <c:pt idx="22">
                  <c:v>2.5099999999999998E-4</c:v>
                </c:pt>
                <c:pt idx="23">
                  <c:v>2.4800000000000001E-4</c:v>
                </c:pt>
                <c:pt idx="24">
                  <c:v>2.385E-4</c:v>
                </c:pt>
                <c:pt idx="25">
                  <c:v>2.33E-4</c:v>
                </c:pt>
                <c:pt idx="26">
                  <c:v>2.285E-4</c:v>
                </c:pt>
                <c:pt idx="27">
                  <c:v>2.0699999999999999E-4</c:v>
                </c:pt>
                <c:pt idx="28">
                  <c:v>1.9549999999999998E-4</c:v>
                </c:pt>
                <c:pt idx="29">
                  <c:v>1.9450000000000001E-4</c:v>
                </c:pt>
                <c:pt idx="30">
                  <c:v>1.8599999999999999E-4</c:v>
                </c:pt>
                <c:pt idx="31">
                  <c:v>1.56E-4</c:v>
                </c:pt>
                <c:pt idx="32">
                  <c:v>1.5050000000000003E-4</c:v>
                </c:pt>
                <c:pt idx="33">
                  <c:v>1.3999999999999999E-4</c:v>
                </c:pt>
                <c:pt idx="34">
                  <c:v>1.37E-4</c:v>
                </c:pt>
                <c:pt idx="35">
                  <c:v>1.2300000000000001E-4</c:v>
                </c:pt>
                <c:pt idx="36">
                  <c:v>1.2E-4</c:v>
                </c:pt>
                <c:pt idx="37">
                  <c:v>1.18E-4</c:v>
                </c:pt>
                <c:pt idx="38">
                  <c:v>1.15E-4</c:v>
                </c:pt>
                <c:pt idx="39">
                  <c:v>1.1094999999999999E-4</c:v>
                </c:pt>
                <c:pt idx="40">
                  <c:v>1.008E-4</c:v>
                </c:pt>
                <c:pt idx="41">
                  <c:v>9.9500000000000006E-5</c:v>
                </c:pt>
                <c:pt idx="42">
                  <c:v>9.7100000000000002E-5</c:v>
                </c:pt>
                <c:pt idx="43">
                  <c:v>9.5000000000000005E-5</c:v>
                </c:pt>
                <c:pt idx="44">
                  <c:v>9.2299999999999994E-5</c:v>
                </c:pt>
                <c:pt idx="45">
                  <c:v>9.1199999999999994E-5</c:v>
                </c:pt>
                <c:pt idx="46">
                  <c:v>8.9149999999999999E-5</c:v>
                </c:pt>
                <c:pt idx="47">
                  <c:v>8.4549999999999995E-5</c:v>
                </c:pt>
                <c:pt idx="48">
                  <c:v>8.2200000000000006E-5</c:v>
                </c:pt>
                <c:pt idx="49">
                  <c:v>8.1500000000000002E-5</c:v>
                </c:pt>
                <c:pt idx="50">
                  <c:v>7.9300000000000003E-5</c:v>
                </c:pt>
                <c:pt idx="51">
                  <c:v>7.8400000000000008E-5</c:v>
                </c:pt>
                <c:pt idx="52">
                  <c:v>7.6699999999999994E-5</c:v>
                </c:pt>
                <c:pt idx="53">
                  <c:v>7.6249999999999997E-5</c:v>
                </c:pt>
                <c:pt idx="54">
                  <c:v>7.4850000000000003E-5</c:v>
                </c:pt>
                <c:pt idx="55">
                  <c:v>7.4300000000000004E-5</c:v>
                </c:pt>
                <c:pt idx="56">
                  <c:v>7.3850000000000006E-5</c:v>
                </c:pt>
                <c:pt idx="57">
                  <c:v>6.9999999999999994E-5</c:v>
                </c:pt>
                <c:pt idx="58">
                  <c:v>6.9800000000000003E-5</c:v>
                </c:pt>
                <c:pt idx="59">
                  <c:v>6.8399999999999996E-5</c:v>
                </c:pt>
                <c:pt idx="60">
                  <c:v>6.8350000000000008E-5</c:v>
                </c:pt>
                <c:pt idx="61">
                  <c:v>6.7899999999999997E-5</c:v>
                </c:pt>
                <c:pt idx="62">
                  <c:v>6.7700000000000006E-5</c:v>
                </c:pt>
                <c:pt idx="63">
                  <c:v>6.7600000000000003E-5</c:v>
                </c:pt>
                <c:pt idx="64">
                  <c:v>6.6799999999999997E-5</c:v>
                </c:pt>
                <c:pt idx="65">
                  <c:v>6.6400000000000001E-5</c:v>
                </c:pt>
                <c:pt idx="66">
                  <c:v>6.6199999999999996E-5</c:v>
                </c:pt>
                <c:pt idx="67">
                  <c:v>6.5950000000000004E-5</c:v>
                </c:pt>
                <c:pt idx="68">
                  <c:v>6.4999999999999994E-5</c:v>
                </c:pt>
                <c:pt idx="69">
                  <c:v>6.2700000000000006E-5</c:v>
                </c:pt>
                <c:pt idx="70">
                  <c:v>6.2199999999999994E-5</c:v>
                </c:pt>
                <c:pt idx="71">
                  <c:v>6.1450000000000003E-5</c:v>
                </c:pt>
                <c:pt idx="72">
                  <c:v>6.05E-5</c:v>
                </c:pt>
                <c:pt idx="73">
                  <c:v>5.9700000000000001E-5</c:v>
                </c:pt>
                <c:pt idx="74">
                  <c:v>5.8999999999999998E-5</c:v>
                </c:pt>
                <c:pt idx="75">
                  <c:v>5.8999999999999998E-5</c:v>
                </c:pt>
                <c:pt idx="76">
                  <c:v>5.8799999999999999E-5</c:v>
                </c:pt>
                <c:pt idx="77">
                  <c:v>5.7000000000000003E-5</c:v>
                </c:pt>
                <c:pt idx="78">
                  <c:v>5.6749999999999997E-5</c:v>
                </c:pt>
                <c:pt idx="79">
                  <c:v>5.6400000000000002E-5</c:v>
                </c:pt>
                <c:pt idx="80">
                  <c:v>5.5899999999999997E-5</c:v>
                </c:pt>
                <c:pt idx="81">
                  <c:v>5.5500000000000001E-5</c:v>
                </c:pt>
                <c:pt idx="82">
                  <c:v>5.49E-5</c:v>
                </c:pt>
                <c:pt idx="83">
                  <c:v>5.435E-5</c:v>
                </c:pt>
                <c:pt idx="84">
                  <c:v>5.1799999999999999E-5</c:v>
                </c:pt>
                <c:pt idx="85">
                  <c:v>5.1E-5</c:v>
                </c:pt>
                <c:pt idx="86">
                  <c:v>5.0000000000000002E-5</c:v>
                </c:pt>
                <c:pt idx="87">
                  <c:v>5.0000000000000002E-5</c:v>
                </c:pt>
                <c:pt idx="88">
                  <c:v>3.18E-5</c:v>
                </c:pt>
                <c:pt idx="89">
                  <c:v>3.0000000000000001E-5</c:v>
                </c:pt>
                <c:pt idx="90">
                  <c:v>1.0000000000000001E-5</c:v>
                </c:pt>
                <c:pt idx="91">
                  <c:v>1.0000000000000001E-5</c:v>
                </c:pt>
                <c:pt idx="92">
                  <c:v>1.0000000000000001E-5</c:v>
                </c:pt>
                <c:pt idx="93">
                  <c:v>1.0000000000000001E-5</c:v>
                </c:pt>
                <c:pt idx="94">
                  <c:v>1.0000000000000001E-5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8-4385-8F01-32E08453A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0261456"/>
        <c:axId val="1060275856"/>
      </c:barChart>
      <c:catAx>
        <c:axId val="1060261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75856"/>
        <c:crosses val="autoZero"/>
        <c:auto val="1"/>
        <c:lblAlgn val="ctr"/>
        <c:lblOffset val="100"/>
        <c:noMultiLvlLbl val="0"/>
      </c:catAx>
      <c:valAx>
        <c:axId val="106027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026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20 Postal codes in Toronto with Lead</a:t>
            </a:r>
            <a:r>
              <a:rPr lang="en-US" baseline="0"/>
              <a:t> detected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12700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numFmt formatCode="#,##0.00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Lead_Sample_cleaned!$A$2:$A$21</c:f>
              <c:strCache>
                <c:ptCount val="20"/>
                <c:pt idx="0">
                  <c:v>M5H</c:v>
                </c:pt>
                <c:pt idx="1">
                  <c:v>M6E</c:v>
                </c:pt>
                <c:pt idx="2">
                  <c:v>M6N</c:v>
                </c:pt>
                <c:pt idx="3">
                  <c:v>M4L</c:v>
                </c:pt>
                <c:pt idx="4">
                  <c:v>M4M</c:v>
                </c:pt>
                <c:pt idx="5">
                  <c:v>M4S</c:v>
                </c:pt>
                <c:pt idx="6">
                  <c:v>M4R</c:v>
                </c:pt>
                <c:pt idx="7">
                  <c:v>M4P</c:v>
                </c:pt>
                <c:pt idx="8">
                  <c:v>M5G</c:v>
                </c:pt>
                <c:pt idx="9">
                  <c:v>M6J</c:v>
                </c:pt>
                <c:pt idx="10">
                  <c:v>M4C</c:v>
                </c:pt>
                <c:pt idx="11">
                  <c:v>M6K</c:v>
                </c:pt>
                <c:pt idx="12">
                  <c:v>M4T</c:v>
                </c:pt>
                <c:pt idx="13">
                  <c:v>M4J</c:v>
                </c:pt>
                <c:pt idx="14">
                  <c:v>M6H</c:v>
                </c:pt>
                <c:pt idx="15">
                  <c:v>M5A</c:v>
                </c:pt>
                <c:pt idx="16">
                  <c:v>M4E</c:v>
                </c:pt>
                <c:pt idx="17">
                  <c:v>M4N</c:v>
                </c:pt>
                <c:pt idx="18">
                  <c:v>M4V</c:v>
                </c:pt>
                <c:pt idx="19">
                  <c:v>M4X</c:v>
                </c:pt>
              </c:strCache>
            </c:strRef>
          </c:cat>
          <c:val>
            <c:numRef>
              <c:f>Lead_Sample_cleaned!$B$2:$B$21</c:f>
              <c:numCache>
                <c:formatCode>General</c:formatCode>
                <c:ptCount val="20"/>
                <c:pt idx="0">
                  <c:v>2.1644500000000001E-3</c:v>
                </c:pt>
                <c:pt idx="1">
                  <c:v>8.4500000000000005E-4</c:v>
                </c:pt>
                <c:pt idx="2">
                  <c:v>7.2999999999999996E-4</c:v>
                </c:pt>
                <c:pt idx="3">
                  <c:v>7.2449999999999999E-4</c:v>
                </c:pt>
                <c:pt idx="4">
                  <c:v>6.4599999999999998E-4</c:v>
                </c:pt>
                <c:pt idx="5">
                  <c:v>6.4199999999999999E-4</c:v>
                </c:pt>
                <c:pt idx="6">
                  <c:v>6.0099999999999997E-4</c:v>
                </c:pt>
                <c:pt idx="7">
                  <c:v>5.8100000000000003E-4</c:v>
                </c:pt>
                <c:pt idx="8">
                  <c:v>5.1500000000000005E-4</c:v>
                </c:pt>
                <c:pt idx="9">
                  <c:v>5.1500000000000005E-4</c:v>
                </c:pt>
                <c:pt idx="10">
                  <c:v>5.0799999999999999E-4</c:v>
                </c:pt>
                <c:pt idx="11">
                  <c:v>5.04E-4</c:v>
                </c:pt>
                <c:pt idx="12">
                  <c:v>4.3600000000000003E-4</c:v>
                </c:pt>
                <c:pt idx="13">
                  <c:v>3.9300000000000001E-4</c:v>
                </c:pt>
                <c:pt idx="14">
                  <c:v>3.6649999999999996E-4</c:v>
                </c:pt>
                <c:pt idx="15">
                  <c:v>3.5500000000000001E-4</c:v>
                </c:pt>
                <c:pt idx="16">
                  <c:v>3.2600000000000001E-4</c:v>
                </c:pt>
                <c:pt idx="17">
                  <c:v>3.1849999999999999E-4</c:v>
                </c:pt>
                <c:pt idx="18">
                  <c:v>3.1300000000000002E-4</c:v>
                </c:pt>
                <c:pt idx="19">
                  <c:v>2.7800000000000004E-4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3-4FCB-A60F-1A5ADD8E34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940564176"/>
        <c:axId val="940566096"/>
      </c:barChart>
      <c:catAx>
        <c:axId val="9405641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Postal Code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66096"/>
        <c:crosses val="autoZero"/>
        <c:auto val="1"/>
        <c:lblAlgn val="ctr"/>
        <c:lblOffset val="100"/>
        <c:tickLblSkip val="1"/>
        <c:noMultiLvlLbl val="0"/>
      </c:catAx>
      <c:valAx>
        <c:axId val="9405660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Lead Amount (ppm)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6417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35433070866141736" l="0.70866141732283472" r="0.70866141732283472" t="0.35433070866141736" header="0.31496062992125984" footer="0.31496062992125984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579120</xdr:colOff>
      <xdr:row>6</xdr:row>
      <xdr:rowOff>80010</xdr:rowOff>
    </xdr:from>
    <xdr:to>
      <xdr:col>6</xdr:col>
      <xdr:colOff>495300</xdr:colOff>
      <xdr:row>21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BB5D8-42C1-B5CB-261F-F9E43FD00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579120</xdr:colOff>
      <xdr:row>6</xdr:row>
      <xdr:rowOff>80010</xdr:rowOff>
    </xdr:from>
    <xdr:to>
      <xdr:col>6</xdr:col>
      <xdr:colOff>1958340</xdr:colOff>
      <xdr:row>26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571263-BA69-5773-DD76-5C2445194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642883-773F-49DE-9CBD-D5395F87459B}" autoFormatId="16" applyNumberFormats="0" applyBorderFormats="0" applyFontFormats="0" applyPatternFormats="0" applyAlignmentFormats="0" applyWidthHeightFormats="0">
  <queryTableRefresh nextId="8">
    <queryTableFields count="7">
      <queryTableField id="1" name="PartialPostalCode" tableColumnId="1"/>
      <queryTableField id="2" name="Lead Amount (ppm)_avg" tableColumnId="2"/>
      <queryTableField id="3" name="Lead Amount (ppm)_std" tableColumnId="3"/>
      <queryTableField id="7" dataBound="0" tableColumnId="7"/>
      <queryTableField id="4" name="Latitude" tableColumnId="4"/>
      <queryTableField id="5" name="Longitude" tableColumnId="5"/>
      <queryTableField id="6" name="Place na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61255-303A-4454-8838-7563A0F8EC7A}" name="Lead_Sample_cleaned" displayName="Lead_Sample_cleaned" ref="A1:G96" tableType="queryTable" totalsRowShown="0">
  <autoFilter ref="A1:G96" xr:uid="{38F61255-303A-4454-8838-7563A0F8EC7A}"/>
  <sortState xmlns:xlrd2="http://schemas.microsoft.com/office/spreadsheetml/2017/richdata2" ref="A2:G96">
    <sortCondition descending="1" ref="B1:B96"/>
  </sortState>
  <tableColumns count="7">
    <tableColumn id="1" xr3:uid="{115C4F18-98E7-46F5-973A-9028ED2DBB56}" uniqueName="1" name="PartialPostalCode" queryTableFieldId="1" dataDxfId="2"/>
    <tableColumn id="2" xr3:uid="{DAC5F4A7-63FB-449D-B424-45F6671C31B3}" uniqueName="2" name="Lead Amount (ppm)_avg" queryTableFieldId="2"/>
    <tableColumn id="3" xr3:uid="{0EC771EC-C197-4262-AD43-47027449F609}" uniqueName="3" name="Lead Amount (ppm)_std" queryTableFieldId="3"/>
    <tableColumn id="7" xr3:uid="{4572CD21-3F84-42B3-9298-58C9CC97341F}" uniqueName="7" name="LogValue : avg" queryTableFieldId="7" dataDxfId="0">
      <calculatedColumnFormula>LOG10($B1)</calculatedColumnFormula>
    </tableColumn>
    <tableColumn id="4" xr3:uid="{EEC7299E-2D59-4747-8C6A-048E819D9B3B}" uniqueName="4" name="Latitude" queryTableFieldId="4"/>
    <tableColumn id="5" xr3:uid="{3FBDDAB0-FD32-4579-9E9E-AE698E562C86}" uniqueName="5" name="Longitude" queryTableFieldId="5"/>
    <tableColumn id="6" xr3:uid="{60F8C869-DA61-48CE-B8CC-4AB0F37C68DB}" uniqueName="6" name="Place name" queryTableFieldId="6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65C2-E838-4A3C-8928-A48F499312C9}">
  <dimension ref="A1:G96"/>
  <sheetViews>
    <sheetView tabSelected="1" workbookViewId="0">
      <selection activeCell="G15" sqref="G15"/>
    </sheetView>
  </sheetViews>
  <sheetFormatPr defaultRowHeight="14.4" x14ac:dyDescent="0.3"/>
  <cols>
    <col min="1" max="1" width="18.44140625" bestFit="1" customWidth="1"/>
    <col min="2" max="2" width="23.33203125" bestFit="1" customWidth="1"/>
    <col min="3" max="3" width="23.21875" bestFit="1" customWidth="1"/>
    <col min="4" max="4" width="23.21875" customWidth="1"/>
    <col min="5" max="5" width="10.109375" bestFit="1" customWidth="1"/>
    <col min="6" max="6" width="11.33203125" bestFit="1" customWidth="1"/>
    <col min="7" max="7" width="80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196</v>
      </c>
      <c r="E1" t="s">
        <v>3</v>
      </c>
      <c r="F1" t="s">
        <v>4</v>
      </c>
      <c r="G1" t="s">
        <v>5</v>
      </c>
    </row>
    <row r="2" spans="1:7" x14ac:dyDescent="0.3">
      <c r="A2" s="1" t="s">
        <v>120</v>
      </c>
      <c r="B2">
        <v>2.1644500000000001E-3</v>
      </c>
      <c r="C2">
        <v>2.9494130950072088E-3</v>
      </c>
      <c r="D2" t="e">
        <f>LOG10($B1)</f>
        <v>#VALUE!</v>
      </c>
      <c r="E2">
        <v>43.6496</v>
      </c>
      <c r="F2">
        <v>-79.383300000000006</v>
      </c>
      <c r="G2" s="1" t="s">
        <v>121</v>
      </c>
    </row>
    <row r="3" spans="1:7" x14ac:dyDescent="0.3">
      <c r="A3" s="1" t="s">
        <v>144</v>
      </c>
      <c r="B3">
        <v>8.4500000000000005E-4</v>
      </c>
      <c r="C3">
        <v>3.7271675226219651E-2</v>
      </c>
      <c r="D3">
        <f>LOG10($B2)</f>
        <v>-2.6646524421792628</v>
      </c>
      <c r="E3">
        <v>43.688899999999997</v>
      </c>
      <c r="F3">
        <v>-79.450699999999998</v>
      </c>
      <c r="G3" s="1" t="s">
        <v>145</v>
      </c>
    </row>
    <row r="4" spans="1:7" x14ac:dyDescent="0.3">
      <c r="A4" s="1" t="s">
        <v>158</v>
      </c>
      <c r="B4">
        <v>7.2999999999999996E-4</v>
      </c>
      <c r="C4">
        <v>3.491722598277399E-2</v>
      </c>
      <c r="D4">
        <f>LOG10($B3)</f>
        <v>-3.0731432910503078</v>
      </c>
      <c r="E4">
        <v>43.674799999999998</v>
      </c>
      <c r="F4">
        <v>-79.483900000000006</v>
      </c>
      <c r="G4" s="1" t="s">
        <v>159</v>
      </c>
    </row>
    <row r="5" spans="1:7" x14ac:dyDescent="0.3">
      <c r="A5" s="1" t="s">
        <v>88</v>
      </c>
      <c r="B5">
        <v>7.2449999999999999E-4</v>
      </c>
      <c r="C5">
        <v>2.6764198496930097E-3</v>
      </c>
      <c r="D5">
        <f>LOG10($B4)</f>
        <v>-3.1366771398795441</v>
      </c>
      <c r="E5">
        <v>43.6693</v>
      </c>
      <c r="F5">
        <v>-79.3155</v>
      </c>
      <c r="G5" s="1" t="s">
        <v>89</v>
      </c>
    </row>
    <row r="6" spans="1:7" x14ac:dyDescent="0.3">
      <c r="A6" s="1" t="s">
        <v>90</v>
      </c>
      <c r="B6">
        <v>6.4599999999999998E-4</v>
      </c>
      <c r="C6">
        <v>1.5531784678371775E-2</v>
      </c>
      <c r="D6">
        <f>LOG10($B5)</f>
        <v>-3.1399616101928065</v>
      </c>
      <c r="E6">
        <v>43.656100000000002</v>
      </c>
      <c r="F6">
        <v>-79.340599999999995</v>
      </c>
      <c r="G6" s="1" t="s">
        <v>91</v>
      </c>
    </row>
    <row r="7" spans="1:7" x14ac:dyDescent="0.3">
      <c r="A7" s="1" t="s">
        <v>98</v>
      </c>
      <c r="B7">
        <v>6.4199999999999999E-4</v>
      </c>
      <c r="C7">
        <v>4.0546490213434335E-3</v>
      </c>
      <c r="D7">
        <f>LOG10($B6)</f>
        <v>-3.1897674820049158</v>
      </c>
      <c r="E7">
        <v>43.701999999999998</v>
      </c>
      <c r="F7">
        <v>-79.385300000000001</v>
      </c>
      <c r="G7" s="1" t="s">
        <v>99</v>
      </c>
    </row>
    <row r="8" spans="1:7" x14ac:dyDescent="0.3">
      <c r="A8" s="1" t="s">
        <v>96</v>
      </c>
      <c r="B8">
        <v>6.0099999999999997E-4</v>
      </c>
      <c r="C8">
        <v>2.4870381908908483E-3</v>
      </c>
      <c r="D8">
        <f>LOG10($B7)</f>
        <v>-3.1924649719311469</v>
      </c>
      <c r="E8">
        <v>43.714300000000001</v>
      </c>
      <c r="F8">
        <v>-79.406499999999994</v>
      </c>
      <c r="G8" s="1" t="s">
        <v>97</v>
      </c>
    </row>
    <row r="9" spans="1:7" x14ac:dyDescent="0.3">
      <c r="A9" s="1" t="s">
        <v>94</v>
      </c>
      <c r="B9">
        <v>5.8100000000000003E-4</v>
      </c>
      <c r="C9">
        <v>5.8223310519767554E-3</v>
      </c>
      <c r="D9">
        <f>LOG10($B8)</f>
        <v>-3.2211255279972604</v>
      </c>
      <c r="E9">
        <v>43.713500000000003</v>
      </c>
      <c r="F9">
        <v>-79.3887</v>
      </c>
      <c r="G9" s="1" t="s">
        <v>95</v>
      </c>
    </row>
    <row r="10" spans="1:7" x14ac:dyDescent="0.3">
      <c r="A10" s="1" t="s">
        <v>118</v>
      </c>
      <c r="B10">
        <v>5.1500000000000005E-4</v>
      </c>
      <c r="C10">
        <v>7.1417784899841311E-4</v>
      </c>
      <c r="D10">
        <f>LOG10($B9)</f>
        <v>-3.2358238676096693</v>
      </c>
      <c r="E10">
        <v>43.656399999999998</v>
      </c>
      <c r="F10">
        <v>-79.385999999999996</v>
      </c>
      <c r="G10" s="1" t="s">
        <v>119</v>
      </c>
    </row>
    <row r="11" spans="1:7" x14ac:dyDescent="0.3">
      <c r="A11" s="1" t="s">
        <v>150</v>
      </c>
      <c r="B11">
        <v>5.1500000000000005E-4</v>
      </c>
      <c r="C11">
        <v>0.11392710413471163</v>
      </c>
      <c r="D11">
        <f>LOG10($B10)</f>
        <v>-3.2881927709588088</v>
      </c>
      <c r="E11">
        <v>43.648000000000003</v>
      </c>
      <c r="F11">
        <v>-79.417699999999996</v>
      </c>
      <c r="G11" s="1" t="s">
        <v>151</v>
      </c>
    </row>
    <row r="12" spans="1:7" x14ac:dyDescent="0.3">
      <c r="A12" s="1" t="s">
        <v>78</v>
      </c>
      <c r="B12">
        <v>5.0799999999999999E-4</v>
      </c>
      <c r="C12">
        <v>1.88781876133929E-2</v>
      </c>
      <c r="D12">
        <f>LOG10($B11)</f>
        <v>-3.2881927709588088</v>
      </c>
      <c r="E12">
        <v>43.691299999999998</v>
      </c>
      <c r="F12">
        <v>-79.311599999999999</v>
      </c>
      <c r="G12" s="1" t="s">
        <v>79</v>
      </c>
    </row>
    <row r="13" spans="1:7" x14ac:dyDescent="0.3">
      <c r="A13" s="1" t="s">
        <v>152</v>
      </c>
      <c r="B13">
        <v>5.04E-4</v>
      </c>
      <c r="C13">
        <v>5.0201360968197987E-2</v>
      </c>
      <c r="D13">
        <f>LOG10($B12)</f>
        <v>-3.2941362877160807</v>
      </c>
      <c r="E13">
        <v>43.638300000000001</v>
      </c>
      <c r="F13">
        <v>-79.430099999999996</v>
      </c>
      <c r="G13" s="1" t="s">
        <v>153</v>
      </c>
    </row>
    <row r="14" spans="1:7" x14ac:dyDescent="0.3">
      <c r="A14" s="1" t="s">
        <v>100</v>
      </c>
      <c r="B14">
        <v>4.3600000000000003E-4</v>
      </c>
      <c r="C14">
        <v>1.006756769364857E-2</v>
      </c>
      <c r="D14">
        <f>LOG10($B13)</f>
        <v>-3.2975694635544746</v>
      </c>
      <c r="E14">
        <v>43.689900000000002</v>
      </c>
      <c r="F14">
        <v>-79.385300000000001</v>
      </c>
      <c r="G14" s="1" t="s">
        <v>101</v>
      </c>
    </row>
    <row r="15" spans="1:7" x14ac:dyDescent="0.3">
      <c r="A15" s="1" t="s">
        <v>84</v>
      </c>
      <c r="B15">
        <v>3.9300000000000001E-4</v>
      </c>
      <c r="C15">
        <v>0.29411774319813638</v>
      </c>
      <c r="D15">
        <f>LOG10($B14)</f>
        <v>-3.3605135107314141</v>
      </c>
      <c r="E15">
        <v>43.687199999999997</v>
      </c>
      <c r="F15">
        <v>-79.336799999999997</v>
      </c>
      <c r="G15" s="1" t="s">
        <v>85</v>
      </c>
    </row>
    <row r="16" spans="1:7" x14ac:dyDescent="0.3">
      <c r="A16" s="1" t="s">
        <v>148</v>
      </c>
      <c r="B16">
        <v>3.6649999999999996E-4</v>
      </c>
      <c r="C16">
        <v>8.3890869343619168E-2</v>
      </c>
      <c r="D16">
        <f>LOG10($B15)</f>
        <v>-3.4056074496245734</v>
      </c>
      <c r="E16">
        <v>43.665500000000002</v>
      </c>
      <c r="F16">
        <v>-79.437799999999996</v>
      </c>
      <c r="G16" s="1" t="s">
        <v>149</v>
      </c>
    </row>
    <row r="17" spans="1:7" x14ac:dyDescent="0.3">
      <c r="A17" s="1" t="s">
        <v>110</v>
      </c>
      <c r="B17">
        <v>3.5500000000000001E-4</v>
      </c>
      <c r="C17">
        <v>2.5195508404216235E-3</v>
      </c>
      <c r="D17">
        <f>LOG10($B16)</f>
        <v>-3.4359260210228535</v>
      </c>
      <c r="E17">
        <v>43.655500000000004</v>
      </c>
      <c r="F17">
        <v>-79.3626</v>
      </c>
      <c r="G17" s="1" t="s">
        <v>111</v>
      </c>
    </row>
    <row r="18" spans="1:7" x14ac:dyDescent="0.3">
      <c r="A18" s="1" t="s">
        <v>80</v>
      </c>
      <c r="B18">
        <v>3.2600000000000001E-4</v>
      </c>
      <c r="C18">
        <v>1.2513195923720442E-2</v>
      </c>
      <c r="D18">
        <f>LOG10($B17)</f>
        <v>-3.4497716469449058</v>
      </c>
      <c r="E18">
        <v>43.678400000000003</v>
      </c>
      <c r="F18">
        <v>-79.2941</v>
      </c>
      <c r="G18" s="1" t="s">
        <v>81</v>
      </c>
    </row>
    <row r="19" spans="1:7" x14ac:dyDescent="0.3">
      <c r="A19" s="1" t="s">
        <v>92</v>
      </c>
      <c r="B19">
        <v>3.1849999999999999E-4</v>
      </c>
      <c r="C19">
        <v>0.50349751150421673</v>
      </c>
      <c r="D19">
        <f>LOG10($B18)</f>
        <v>-3.4867823999320611</v>
      </c>
      <c r="E19">
        <v>43.7301</v>
      </c>
      <c r="F19">
        <v>-79.393500000000003</v>
      </c>
      <c r="G19" s="1" t="s">
        <v>93</v>
      </c>
    </row>
    <row r="20" spans="1:7" x14ac:dyDescent="0.3">
      <c r="A20" s="1" t="s">
        <v>102</v>
      </c>
      <c r="B20">
        <v>3.1300000000000002E-4</v>
      </c>
      <c r="C20">
        <v>2.8404294056449033E-3</v>
      </c>
      <c r="D20">
        <f>LOG10($B19)</f>
        <v>-3.4968905633286309</v>
      </c>
      <c r="E20">
        <v>43.686100000000003</v>
      </c>
      <c r="F20">
        <v>-79.402500000000003</v>
      </c>
      <c r="G20" s="1" t="s">
        <v>103</v>
      </c>
    </row>
    <row r="21" spans="1:7" x14ac:dyDescent="0.3">
      <c r="A21" s="1" t="s">
        <v>106</v>
      </c>
      <c r="B21">
        <v>2.7800000000000004E-4</v>
      </c>
      <c r="C21">
        <v>7.773410325712253E-2</v>
      </c>
      <c r="D21">
        <f>LOG10($B20)</f>
        <v>-3.5044556624535517</v>
      </c>
      <c r="E21">
        <v>43.668399999999998</v>
      </c>
      <c r="F21">
        <v>-79.368899999999996</v>
      </c>
      <c r="G21" s="1" t="s">
        <v>107</v>
      </c>
    </row>
    <row r="22" spans="1:7" x14ac:dyDescent="0.3">
      <c r="A22" s="1" t="s">
        <v>124</v>
      </c>
      <c r="B22">
        <v>2.6899999999999998E-4</v>
      </c>
      <c r="C22">
        <v>4.5317167506767949E-3</v>
      </c>
      <c r="D22">
        <f>LOG10($B21)</f>
        <v>-3.5559552040819238</v>
      </c>
      <c r="E22">
        <v>43.733499999999999</v>
      </c>
      <c r="F22">
        <v>-79.417699999999996</v>
      </c>
      <c r="G22" s="1" t="s">
        <v>125</v>
      </c>
    </row>
    <row r="23" spans="1:7" x14ac:dyDescent="0.3">
      <c r="A23" s="1" t="s">
        <v>146</v>
      </c>
      <c r="B23">
        <v>2.6200000000000003E-4</v>
      </c>
      <c r="C23">
        <v>3.0249621335242892E-3</v>
      </c>
      <c r="D23">
        <f>LOG10($B22)</f>
        <v>-3.5702477199975919</v>
      </c>
      <c r="E23">
        <v>43.668300000000002</v>
      </c>
      <c r="F23">
        <v>-79.420500000000004</v>
      </c>
      <c r="G23" s="1" t="s">
        <v>147</v>
      </c>
    </row>
    <row r="24" spans="1:7" x14ac:dyDescent="0.3">
      <c r="A24" s="1" t="s">
        <v>86</v>
      </c>
      <c r="B24">
        <v>2.5099999999999998E-4</v>
      </c>
      <c r="C24">
        <v>4.8735000991168072E-2</v>
      </c>
      <c r="D24">
        <f>LOG10($B23)</f>
        <v>-3.5816987086802543</v>
      </c>
      <c r="E24">
        <v>43.680300000000003</v>
      </c>
      <c r="F24">
        <v>-79.353800000000007</v>
      </c>
      <c r="G24" s="1" t="s">
        <v>87</v>
      </c>
    </row>
    <row r="25" spans="1:7" x14ac:dyDescent="0.3">
      <c r="A25" s="1" t="s">
        <v>164</v>
      </c>
      <c r="B25">
        <v>2.4800000000000001E-4</v>
      </c>
      <c r="C25">
        <v>5.2957208250766989E-2</v>
      </c>
      <c r="D25">
        <f>LOG10($B24)</f>
        <v>-3.600326278518962</v>
      </c>
      <c r="E25">
        <v>43.651200000000003</v>
      </c>
      <c r="F25">
        <v>-79.482799999999997</v>
      </c>
      <c r="G25" s="1" t="s">
        <v>165</v>
      </c>
    </row>
    <row r="26" spans="1:7" x14ac:dyDescent="0.3">
      <c r="A26" s="1" t="s">
        <v>160</v>
      </c>
      <c r="B26">
        <v>2.385E-4</v>
      </c>
      <c r="C26">
        <v>2.4668695149074896E-2</v>
      </c>
      <c r="D26">
        <f>LOG10($B25)</f>
        <v>-3.6055483191737836</v>
      </c>
      <c r="E26">
        <v>43.660499999999999</v>
      </c>
      <c r="F26">
        <v>-79.463300000000004</v>
      </c>
      <c r="G26" s="1" t="s">
        <v>161</v>
      </c>
    </row>
    <row r="27" spans="1:7" x14ac:dyDescent="0.3">
      <c r="A27" s="1" t="s">
        <v>162</v>
      </c>
      <c r="B27">
        <v>2.33E-4</v>
      </c>
      <c r="C27">
        <v>1.1379522484219669E-2</v>
      </c>
      <c r="D27">
        <f>LOG10($B26)</f>
        <v>-3.6225116166238673</v>
      </c>
      <c r="E27">
        <v>43.646900000000002</v>
      </c>
      <c r="F27">
        <v>-79.452100000000002</v>
      </c>
      <c r="G27" s="1" t="s">
        <v>163</v>
      </c>
    </row>
    <row r="28" spans="1:7" x14ac:dyDescent="0.3">
      <c r="A28" s="1" t="s">
        <v>156</v>
      </c>
      <c r="B28">
        <v>2.285E-4</v>
      </c>
      <c r="C28">
        <v>2.8484273679523952E-2</v>
      </c>
      <c r="D28">
        <f>LOG10($B27)</f>
        <v>-3.6326440789739811</v>
      </c>
      <c r="E28">
        <v>43.693399999999997</v>
      </c>
      <c r="F28">
        <v>-79.485699999999994</v>
      </c>
      <c r="G28" s="1" t="s">
        <v>157</v>
      </c>
    </row>
    <row r="29" spans="1:7" x14ac:dyDescent="0.3">
      <c r="A29" s="1" t="s">
        <v>126</v>
      </c>
      <c r="B29">
        <v>2.0699999999999999E-4</v>
      </c>
      <c r="C29">
        <v>2.8734526813363934E-3</v>
      </c>
      <c r="D29">
        <f>LOG10($B28)</f>
        <v>-3.6411137955941308</v>
      </c>
      <c r="E29">
        <v>43.711300000000001</v>
      </c>
      <c r="F29">
        <v>-79.419499999999999</v>
      </c>
      <c r="G29" s="1" t="s">
        <v>127</v>
      </c>
    </row>
    <row r="30" spans="1:7" x14ac:dyDescent="0.3">
      <c r="A30" s="1" t="s">
        <v>104</v>
      </c>
      <c r="B30">
        <v>1.9549999999999998E-4</v>
      </c>
      <c r="C30">
        <v>3.5285654600789641E-3</v>
      </c>
      <c r="D30">
        <f>LOG10($B29)</f>
        <v>-3.6840296545430822</v>
      </c>
      <c r="E30">
        <v>43.682699999999997</v>
      </c>
      <c r="F30">
        <v>-79.373000000000005</v>
      </c>
      <c r="G30" s="1" t="s">
        <v>105</v>
      </c>
    </row>
    <row r="31" spans="1:7" x14ac:dyDescent="0.3">
      <c r="A31" s="1" t="s">
        <v>142</v>
      </c>
      <c r="B31">
        <v>1.9450000000000001E-4</v>
      </c>
      <c r="C31">
        <v>4.1239492688295597E-2</v>
      </c>
      <c r="D31">
        <f>LOG10($B30)</f>
        <v>-3.7088532382681145</v>
      </c>
      <c r="E31">
        <v>43.691499999999998</v>
      </c>
      <c r="F31">
        <v>-79.430700000000002</v>
      </c>
      <c r="G31" s="1" t="s">
        <v>143</v>
      </c>
    </row>
    <row r="32" spans="1:7" x14ac:dyDescent="0.3">
      <c r="A32" s="1" t="s">
        <v>82</v>
      </c>
      <c r="B32">
        <v>1.8599999999999999E-4</v>
      </c>
      <c r="C32">
        <v>7.1564375438294484E-3</v>
      </c>
      <c r="D32">
        <f>LOG10($B31)</f>
        <v>-3.7110803943382735</v>
      </c>
      <c r="E32">
        <v>43.712400000000002</v>
      </c>
      <c r="F32">
        <v>-79.364400000000003</v>
      </c>
      <c r="G32" s="1" t="s">
        <v>83</v>
      </c>
    </row>
    <row r="33" spans="1:7" x14ac:dyDescent="0.3">
      <c r="A33" s="1" t="s">
        <v>136</v>
      </c>
      <c r="B33">
        <v>1.56E-4</v>
      </c>
      <c r="C33">
        <v>6.4261298669748192E-3</v>
      </c>
      <c r="D33">
        <f>LOG10($B32)</f>
        <v>-3.7304870557820835</v>
      </c>
      <c r="E33">
        <v>43.6404</v>
      </c>
      <c r="F33">
        <v>-79.399500000000003</v>
      </c>
      <c r="G33" s="1" t="s">
        <v>137</v>
      </c>
    </row>
    <row r="34" spans="1:7" x14ac:dyDescent="0.3">
      <c r="A34" s="1" t="s">
        <v>24</v>
      </c>
      <c r="B34">
        <v>1.5050000000000003E-4</v>
      </c>
      <c r="C34">
        <v>3.5367629568536382E-2</v>
      </c>
      <c r="D34">
        <f>LOG10($B33)</f>
        <v>-3.8068754016455384</v>
      </c>
      <c r="E34">
        <v>43.6952</v>
      </c>
      <c r="F34">
        <v>-79.264600000000002</v>
      </c>
      <c r="G34" s="1" t="s">
        <v>25</v>
      </c>
    </row>
    <row r="35" spans="1:7" x14ac:dyDescent="0.3">
      <c r="A35" s="1" t="s">
        <v>130</v>
      </c>
      <c r="B35">
        <v>1.3999999999999999E-4</v>
      </c>
      <c r="C35">
        <v>0.25311426341227261</v>
      </c>
      <c r="D35">
        <f>LOG10($B34)</f>
        <v>-3.8224635000701377</v>
      </c>
      <c r="E35">
        <v>43.6736</v>
      </c>
      <c r="F35">
        <v>-79.403499999999994</v>
      </c>
      <c r="G35" s="1" t="s">
        <v>131</v>
      </c>
    </row>
    <row r="36" spans="1:7" x14ac:dyDescent="0.3">
      <c r="A36" s="1" t="s">
        <v>134</v>
      </c>
      <c r="B36">
        <v>1.37E-4</v>
      </c>
      <c r="C36">
        <v>9.764912829049781E-4</v>
      </c>
      <c r="D36">
        <f>LOG10($B35)</f>
        <v>-3.8538719643217618</v>
      </c>
      <c r="E36">
        <v>43.6541</v>
      </c>
      <c r="F36">
        <v>-79.397800000000004</v>
      </c>
      <c r="G36" s="1" t="s">
        <v>135</v>
      </c>
    </row>
    <row r="37" spans="1:7" x14ac:dyDescent="0.3">
      <c r="A37" s="1" t="s">
        <v>112</v>
      </c>
      <c r="B37">
        <v>1.2300000000000001E-4</v>
      </c>
      <c r="C37">
        <v>2.331051346638822E-3</v>
      </c>
      <c r="D37">
        <f>LOG10($B36)</f>
        <v>-3.8632794328435933</v>
      </c>
      <c r="E37">
        <v>43.657200000000003</v>
      </c>
      <c r="F37">
        <v>-79.378299999999996</v>
      </c>
      <c r="G37" s="1" t="s">
        <v>113</v>
      </c>
    </row>
    <row r="38" spans="1:7" x14ac:dyDescent="0.3">
      <c r="A38" s="1" t="s">
        <v>108</v>
      </c>
      <c r="B38">
        <v>1.2E-4</v>
      </c>
      <c r="C38">
        <v>5.4580090710590486E-4</v>
      </c>
      <c r="D38">
        <f>LOG10($B37)</f>
        <v>-3.9100948885606019</v>
      </c>
      <c r="E38">
        <v>43.665599999999998</v>
      </c>
      <c r="F38">
        <v>-79.382999999999996</v>
      </c>
      <c r="G38" s="1" t="s">
        <v>109</v>
      </c>
    </row>
    <row r="39" spans="1:7" x14ac:dyDescent="0.3">
      <c r="A39" s="1" t="s">
        <v>128</v>
      </c>
      <c r="B39">
        <v>1.18E-4</v>
      </c>
      <c r="C39">
        <v>1.8442165082315368E-3</v>
      </c>
      <c r="D39">
        <f>LOG10($B38)</f>
        <v>-3.9208187539523753</v>
      </c>
      <c r="E39">
        <v>43.696599999999997</v>
      </c>
      <c r="F39">
        <v>-79.412000000000006</v>
      </c>
      <c r="G39" s="1" t="s">
        <v>129</v>
      </c>
    </row>
    <row r="40" spans="1:7" x14ac:dyDescent="0.3">
      <c r="A40" s="1" t="s">
        <v>132</v>
      </c>
      <c r="B40">
        <v>1.15E-4</v>
      </c>
      <c r="C40">
        <v>1.3872899219682675E-3</v>
      </c>
      <c r="D40">
        <f>LOG10($B39)</f>
        <v>-3.9281179926938745</v>
      </c>
      <c r="E40">
        <v>43.6629</v>
      </c>
      <c r="F40">
        <v>-79.398700000000005</v>
      </c>
      <c r="G40" s="1" t="s">
        <v>133</v>
      </c>
    </row>
    <row r="41" spans="1:7" x14ac:dyDescent="0.3">
      <c r="A41" s="1" t="s">
        <v>38</v>
      </c>
      <c r="B41">
        <v>1.1094999999999999E-4</v>
      </c>
      <c r="C41">
        <v>2.6940768363207461E-5</v>
      </c>
      <c r="D41">
        <f>LOG10($B40)</f>
        <v>-3.9393021596463882</v>
      </c>
      <c r="E41">
        <v>43.834000000000003</v>
      </c>
      <c r="F41">
        <v>-79.206900000000005</v>
      </c>
      <c r="G41" s="1" t="s">
        <v>39</v>
      </c>
    </row>
    <row r="42" spans="1:7" x14ac:dyDescent="0.3">
      <c r="A42" s="1" t="s">
        <v>30</v>
      </c>
      <c r="B42">
        <v>1.008E-4</v>
      </c>
      <c r="C42">
        <v>3.0155569803352821E-3</v>
      </c>
      <c r="D42">
        <f>LOG10($B41)</f>
        <v>-3.9548726934319731</v>
      </c>
      <c r="E42">
        <v>43.794600000000003</v>
      </c>
      <c r="F42">
        <v>-79.264399999999995</v>
      </c>
      <c r="G42" s="1" t="s">
        <v>31</v>
      </c>
    </row>
    <row r="43" spans="1:7" x14ac:dyDescent="0.3">
      <c r="A43" s="1" t="s">
        <v>46</v>
      </c>
      <c r="B43">
        <v>9.9500000000000006E-5</v>
      </c>
      <c r="C43">
        <v>2.5870523152584701E-2</v>
      </c>
      <c r="D43">
        <f>LOG10($B42)</f>
        <v>-3.9965394678904937</v>
      </c>
      <c r="E43">
        <v>43.7547</v>
      </c>
      <c r="F43">
        <v>-79.376400000000004</v>
      </c>
      <c r="G43" s="1" t="s">
        <v>47</v>
      </c>
    </row>
    <row r="44" spans="1:7" x14ac:dyDescent="0.3">
      <c r="A44" s="1" t="s">
        <v>170</v>
      </c>
      <c r="B44">
        <v>9.7100000000000002E-5</v>
      </c>
      <c r="C44">
        <v>4.9372837846292943E-4</v>
      </c>
      <c r="D44">
        <f>LOG10($B43)</f>
        <v>-4.0021769192542749</v>
      </c>
      <c r="E44">
        <v>43.651800000000001</v>
      </c>
      <c r="F44">
        <v>-79.507599999999996</v>
      </c>
      <c r="G44" s="1" t="s">
        <v>171</v>
      </c>
    </row>
    <row r="45" spans="1:7" x14ac:dyDescent="0.3">
      <c r="A45" s="1" t="s">
        <v>22</v>
      </c>
      <c r="B45">
        <v>9.5000000000000005E-5</v>
      </c>
      <c r="C45">
        <v>2.1057196662760519E-3</v>
      </c>
      <c r="D45">
        <f>LOG10($B44)</f>
        <v>-4.0127807700919949</v>
      </c>
      <c r="E45">
        <v>43.724699999999999</v>
      </c>
      <c r="F45">
        <v>-79.231200000000001</v>
      </c>
      <c r="G45" s="1" t="s">
        <v>23</v>
      </c>
    </row>
    <row r="46" spans="1:7" x14ac:dyDescent="0.3">
      <c r="A46" s="1" t="s">
        <v>168</v>
      </c>
      <c r="B46">
        <v>9.2299999999999994E-5</v>
      </c>
      <c r="C46">
        <v>3.7154562693874102E-3</v>
      </c>
      <c r="D46">
        <f>LOG10($B45)</f>
        <v>-4.0222763947111524</v>
      </c>
      <c r="E46">
        <v>43.6021</v>
      </c>
      <c r="F46">
        <v>-79.540199999999999</v>
      </c>
      <c r="G46" s="1" t="s">
        <v>169</v>
      </c>
    </row>
    <row r="47" spans="1:7" x14ac:dyDescent="0.3">
      <c r="A47" s="1" t="s">
        <v>64</v>
      </c>
      <c r="B47">
        <v>9.1199999999999994E-5</v>
      </c>
      <c r="C47">
        <v>1.0312754008415756E-4</v>
      </c>
      <c r="D47">
        <f>LOG10($B46)</f>
        <v>-4.0347982989740876</v>
      </c>
      <c r="E47">
        <v>43.769399999999997</v>
      </c>
      <c r="F47">
        <v>-79.492099999999994</v>
      </c>
      <c r="G47" s="1" t="s">
        <v>65</v>
      </c>
    </row>
    <row r="48" spans="1:7" x14ac:dyDescent="0.3">
      <c r="A48" s="1" t="s">
        <v>12</v>
      </c>
      <c r="B48">
        <v>8.9149999999999999E-5</v>
      </c>
      <c r="C48">
        <v>4.3399634438032284E-4</v>
      </c>
      <c r="D48">
        <f>LOG10($B47)</f>
        <v>-4.0400051616715835</v>
      </c>
      <c r="E48">
        <v>43.7712</v>
      </c>
      <c r="F48">
        <v>-79.214399999999998</v>
      </c>
      <c r="G48" s="1" t="s">
        <v>13</v>
      </c>
    </row>
    <row r="49" spans="1:7" x14ac:dyDescent="0.3">
      <c r="A49" s="1" t="s">
        <v>186</v>
      </c>
      <c r="B49">
        <v>8.4549999999999995E-5</v>
      </c>
      <c r="C49">
        <v>6.7716972668160754E-3</v>
      </c>
      <c r="D49">
        <f>LOG10($B48)</f>
        <v>-4.0498786524886263</v>
      </c>
      <c r="E49">
        <v>43.706800000000001</v>
      </c>
      <c r="F49">
        <v>-79.516999999999996</v>
      </c>
      <c r="G49" s="1" t="s">
        <v>187</v>
      </c>
    </row>
    <row r="50" spans="1:7" x14ac:dyDescent="0.3">
      <c r="A50" s="1" t="s">
        <v>70</v>
      </c>
      <c r="B50">
        <v>8.2200000000000006E-5</v>
      </c>
      <c r="C50">
        <v>1.8479066913534133E-2</v>
      </c>
      <c r="D50">
        <f>LOG10($B49)</f>
        <v>-4.0728863880662391</v>
      </c>
      <c r="E50">
        <v>43.731900000000003</v>
      </c>
      <c r="F50">
        <v>-79.492800000000003</v>
      </c>
      <c r="G50" s="1" t="s">
        <v>71</v>
      </c>
    </row>
    <row r="51" spans="1:7" x14ac:dyDescent="0.3">
      <c r="A51" s="1" t="s">
        <v>6</v>
      </c>
      <c r="B51">
        <v>8.1500000000000002E-5</v>
      </c>
      <c r="C51">
        <v>1.697830617944046E-3</v>
      </c>
      <c r="D51">
        <f>LOG10($B50)</f>
        <v>-4.0851281824599495</v>
      </c>
      <c r="E51">
        <v>43.811300000000003</v>
      </c>
      <c r="F51">
        <v>-79.192999999999998</v>
      </c>
      <c r="G51" s="1" t="s">
        <v>7</v>
      </c>
    </row>
    <row r="52" spans="1:7" x14ac:dyDescent="0.3">
      <c r="A52" s="1" t="s">
        <v>20</v>
      </c>
      <c r="B52">
        <v>7.9300000000000003E-5</v>
      </c>
      <c r="C52">
        <v>1.2243457010980309E-3</v>
      </c>
      <c r="D52">
        <f>LOG10($B51)</f>
        <v>-4.0888423912600231</v>
      </c>
      <c r="E52">
        <v>43.712200000000003</v>
      </c>
      <c r="F52">
        <v>-79.284300000000002</v>
      </c>
      <c r="G52" s="1" t="s">
        <v>21</v>
      </c>
    </row>
    <row r="53" spans="1:7" x14ac:dyDescent="0.3">
      <c r="A53" s="1" t="s">
        <v>16</v>
      </c>
      <c r="B53">
        <v>7.8400000000000008E-5</v>
      </c>
      <c r="C53">
        <v>8.590499292042349E-4</v>
      </c>
      <c r="D53">
        <f>LOG10($B52)</f>
        <v>-4.1007268126823959</v>
      </c>
      <c r="E53">
        <v>43.746400000000001</v>
      </c>
      <c r="F53">
        <v>-79.232299999999995</v>
      </c>
      <c r="G53" s="1" t="s">
        <v>17</v>
      </c>
    </row>
    <row r="54" spans="1:7" x14ac:dyDescent="0.3">
      <c r="A54" s="1" t="s">
        <v>48</v>
      </c>
      <c r="B54">
        <v>7.6699999999999994E-5</v>
      </c>
      <c r="C54">
        <v>5.677224166348166E-4</v>
      </c>
      <c r="D54">
        <f>LOG10($B53)</f>
        <v>-4.1056839373155611</v>
      </c>
      <c r="E54">
        <v>43.791499999999999</v>
      </c>
      <c r="F54">
        <v>-79.410300000000007</v>
      </c>
      <c r="G54" s="1" t="s">
        <v>49</v>
      </c>
    </row>
    <row r="55" spans="1:7" x14ac:dyDescent="0.3">
      <c r="A55" s="1" t="s">
        <v>194</v>
      </c>
      <c r="B55">
        <v>7.6249999999999997E-5</v>
      </c>
      <c r="C55">
        <v>0.89575327426304174</v>
      </c>
      <c r="D55">
        <f>LOG10($B54)</f>
        <v>-4.1152046360510193</v>
      </c>
      <c r="E55">
        <v>43.714399999999998</v>
      </c>
      <c r="F55">
        <v>-79.590900000000005</v>
      </c>
      <c r="G55" s="1" t="s">
        <v>195</v>
      </c>
    </row>
    <row r="56" spans="1:7" x14ac:dyDescent="0.3">
      <c r="A56" s="1" t="s">
        <v>72</v>
      </c>
      <c r="B56">
        <v>7.4850000000000003E-5</v>
      </c>
      <c r="C56">
        <v>8.5398435641409725E-4</v>
      </c>
      <c r="D56">
        <f>LOG10($B55)</f>
        <v>-4.1177601519811766</v>
      </c>
      <c r="E56">
        <v>43.756799999999998</v>
      </c>
      <c r="F56">
        <v>-79.521000000000001</v>
      </c>
      <c r="G56" s="1" t="s">
        <v>73</v>
      </c>
    </row>
    <row r="57" spans="1:7" x14ac:dyDescent="0.3">
      <c r="A57" s="1" t="s">
        <v>122</v>
      </c>
      <c r="B57">
        <v>7.4300000000000004E-5</v>
      </c>
      <c r="C57">
        <v>5.8029575300219194E-4</v>
      </c>
      <c r="D57">
        <f>LOG10($B56)</f>
        <v>-4.1258081953209285</v>
      </c>
      <c r="E57">
        <v>43.622999999999998</v>
      </c>
      <c r="F57">
        <v>-79.393600000000006</v>
      </c>
      <c r="G57" s="1" t="s">
        <v>123</v>
      </c>
    </row>
    <row r="58" spans="1:7" x14ac:dyDescent="0.3">
      <c r="A58" s="1" t="s">
        <v>188</v>
      </c>
      <c r="B58">
        <v>7.3850000000000006E-5</v>
      </c>
      <c r="C58">
        <v>6.1214460941906232E-4</v>
      </c>
      <c r="D58">
        <f>LOG10($B57)</f>
        <v>-4.129011186239425</v>
      </c>
      <c r="E58">
        <v>43.694899999999997</v>
      </c>
      <c r="F58">
        <v>-79.532300000000006</v>
      </c>
      <c r="G58" s="1" t="s">
        <v>189</v>
      </c>
    </row>
    <row r="59" spans="1:7" x14ac:dyDescent="0.3">
      <c r="A59" s="1" t="s">
        <v>116</v>
      </c>
      <c r="B59">
        <v>6.9999999999999994E-5</v>
      </c>
      <c r="C59">
        <v>3.2021840983928457E-4</v>
      </c>
      <c r="D59">
        <f>LOG10($B58)</f>
        <v>-4.1316495003520313</v>
      </c>
      <c r="E59">
        <v>43.645600000000002</v>
      </c>
      <c r="F59">
        <v>-79.375399999999999</v>
      </c>
      <c r="G59" s="1" t="s">
        <v>117</v>
      </c>
    </row>
    <row r="60" spans="1:7" x14ac:dyDescent="0.3">
      <c r="A60" s="1" t="s">
        <v>52</v>
      </c>
      <c r="B60">
        <v>6.9800000000000003E-5</v>
      </c>
      <c r="C60">
        <v>3.419360359287489E-4</v>
      </c>
      <c r="D60">
        <f>LOG10($B59)</f>
        <v>-4.1549019599857431</v>
      </c>
      <c r="E60">
        <v>43.75</v>
      </c>
      <c r="F60">
        <v>-79.397800000000004</v>
      </c>
      <c r="G60" s="1" t="s">
        <v>53</v>
      </c>
    </row>
    <row r="61" spans="1:7" x14ac:dyDescent="0.3">
      <c r="A61" s="1" t="s">
        <v>54</v>
      </c>
      <c r="B61">
        <v>6.8399999999999996E-5</v>
      </c>
      <c r="C61">
        <v>3.144095576469589E-3</v>
      </c>
      <c r="D61">
        <f>LOG10($B60)</f>
        <v>-4.1561445773768391</v>
      </c>
      <c r="E61">
        <v>43.778599999999997</v>
      </c>
      <c r="F61">
        <v>-79.444999999999993</v>
      </c>
      <c r="G61" s="1" t="s">
        <v>55</v>
      </c>
    </row>
    <row r="62" spans="1:7" x14ac:dyDescent="0.3">
      <c r="A62" s="1" t="s">
        <v>32</v>
      </c>
      <c r="B62">
        <v>6.8350000000000008E-5</v>
      </c>
      <c r="C62">
        <v>0.14097433304320658</v>
      </c>
      <c r="D62">
        <f>LOG10($B61)</f>
        <v>-4.1649438982798834</v>
      </c>
      <c r="E62">
        <v>43.781199999999998</v>
      </c>
      <c r="F62">
        <v>-79.303600000000003</v>
      </c>
      <c r="G62" s="1" t="s">
        <v>33</v>
      </c>
    </row>
    <row r="63" spans="1:7" x14ac:dyDescent="0.3">
      <c r="A63" s="1" t="s">
        <v>114</v>
      </c>
      <c r="B63">
        <v>6.7899999999999997E-5</v>
      </c>
      <c r="C63">
        <v>4.1561320158692428E-5</v>
      </c>
      <c r="D63">
        <f>LOG10($B62)</f>
        <v>-4.1652614810961586</v>
      </c>
      <c r="E63">
        <v>43.651299999999999</v>
      </c>
      <c r="F63">
        <v>-79.375600000000006</v>
      </c>
      <c r="G63" s="1" t="s">
        <v>115</v>
      </c>
    </row>
    <row r="64" spans="1:7" x14ac:dyDescent="0.3">
      <c r="A64" s="1" t="s">
        <v>42</v>
      </c>
      <c r="B64">
        <v>6.7700000000000006E-5</v>
      </c>
      <c r="C64">
        <v>2.457657965970814E-2</v>
      </c>
      <c r="D64">
        <f>LOG10($B63)</f>
        <v>-4.1681302257194988</v>
      </c>
      <c r="E64">
        <v>43.780099999999997</v>
      </c>
      <c r="F64">
        <v>-79.347899999999996</v>
      </c>
      <c r="G64" s="1" t="s">
        <v>43</v>
      </c>
    </row>
    <row r="65" spans="1:7" x14ac:dyDescent="0.3">
      <c r="A65" s="1" t="s">
        <v>184</v>
      </c>
      <c r="B65">
        <v>6.7600000000000003E-5</v>
      </c>
      <c r="C65">
        <v>1.0554451798612315E-3</v>
      </c>
      <c r="D65">
        <f>LOG10($B64)</f>
        <v>-4.1694113313148558</v>
      </c>
      <c r="E65">
        <v>43.736600000000003</v>
      </c>
      <c r="F65">
        <v>-79.540099999999995</v>
      </c>
      <c r="G65" s="1" t="s">
        <v>185</v>
      </c>
    </row>
    <row r="66" spans="1:7" x14ac:dyDescent="0.3">
      <c r="A66" s="1" t="s">
        <v>50</v>
      </c>
      <c r="B66">
        <v>6.6799999999999997E-5</v>
      </c>
      <c r="C66">
        <v>3.7937077023631623E-3</v>
      </c>
      <c r="D66">
        <f>LOG10($B65)</f>
        <v>-4.1700533040583636</v>
      </c>
      <c r="E66">
        <v>43.767299999999999</v>
      </c>
      <c r="F66">
        <v>-79.411100000000005</v>
      </c>
      <c r="G66" s="1" t="s">
        <v>51</v>
      </c>
    </row>
    <row r="67" spans="1:7" x14ac:dyDescent="0.3">
      <c r="A67" s="1" t="s">
        <v>10</v>
      </c>
      <c r="B67">
        <v>6.6400000000000001E-5</v>
      </c>
      <c r="C67">
        <v>2.6745985680097864E-4</v>
      </c>
      <c r="D67">
        <f>LOG10($B66)</f>
        <v>-4.1752235375244542</v>
      </c>
      <c r="E67">
        <v>43.767800000000001</v>
      </c>
      <c r="F67">
        <v>-79.186599999999999</v>
      </c>
      <c r="G67" s="1" t="s">
        <v>11</v>
      </c>
    </row>
    <row r="68" spans="1:7" x14ac:dyDescent="0.3">
      <c r="A68" s="1" t="s">
        <v>180</v>
      </c>
      <c r="B68">
        <v>6.6199999999999996E-5</v>
      </c>
      <c r="C68">
        <v>5.6230487640991829E-4</v>
      </c>
      <c r="D68">
        <f>LOG10($B67)</f>
        <v>-4.1778319206319825</v>
      </c>
      <c r="E68">
        <v>43.643700000000003</v>
      </c>
      <c r="F68">
        <v>-79.576700000000002</v>
      </c>
      <c r="G68" s="1" t="s">
        <v>181</v>
      </c>
    </row>
    <row r="69" spans="1:7" x14ac:dyDescent="0.3">
      <c r="A69" s="1" t="s">
        <v>172</v>
      </c>
      <c r="B69">
        <v>6.5950000000000004E-5</v>
      </c>
      <c r="C69">
        <v>1.381225262816426E-3</v>
      </c>
      <c r="D69">
        <f>LOG10($B68)</f>
        <v>-4.1791420105602999</v>
      </c>
      <c r="E69">
        <v>43.6325</v>
      </c>
      <c r="F69">
        <v>-79.493899999999996</v>
      </c>
      <c r="G69" s="1" t="s">
        <v>173</v>
      </c>
    </row>
    <row r="70" spans="1:7" x14ac:dyDescent="0.3">
      <c r="A70" s="1" t="s">
        <v>182</v>
      </c>
      <c r="B70">
        <v>6.4999999999999994E-5</v>
      </c>
      <c r="C70">
        <v>1.9555101636145998E-4</v>
      </c>
      <c r="D70">
        <f>LOG10($B69)</f>
        <v>-4.180785200117616</v>
      </c>
      <c r="E70">
        <v>43.759799999999998</v>
      </c>
      <c r="F70">
        <v>-79.5565</v>
      </c>
      <c r="G70" s="1" t="s">
        <v>183</v>
      </c>
    </row>
    <row r="71" spans="1:7" x14ac:dyDescent="0.3">
      <c r="A71" s="1" t="s">
        <v>140</v>
      </c>
      <c r="B71">
        <v>6.2700000000000006E-5</v>
      </c>
      <c r="C71">
        <v>3.4346136808673528E-4</v>
      </c>
      <c r="D71">
        <f>LOG10($B70)</f>
        <v>-4.1870866433571443</v>
      </c>
      <c r="E71">
        <v>43.708100000000002</v>
      </c>
      <c r="F71">
        <v>-79.447900000000004</v>
      </c>
      <c r="G71" s="1" t="s">
        <v>141</v>
      </c>
    </row>
    <row r="72" spans="1:7" x14ac:dyDescent="0.3">
      <c r="A72" s="1" t="s">
        <v>62</v>
      </c>
      <c r="B72">
        <v>6.2199999999999994E-5</v>
      </c>
      <c r="C72">
        <v>5.9666257897973791E-3</v>
      </c>
      <c r="D72">
        <f>LOG10($B71)</f>
        <v>-4.2027324591692832</v>
      </c>
      <c r="E72">
        <v>43.753500000000003</v>
      </c>
      <c r="F72">
        <v>-79.447199999999995</v>
      </c>
      <c r="G72" s="1" t="s">
        <v>63</v>
      </c>
    </row>
    <row r="73" spans="1:7" x14ac:dyDescent="0.3">
      <c r="A73" s="1" t="s">
        <v>26</v>
      </c>
      <c r="B73">
        <v>6.1450000000000003E-5</v>
      </c>
      <c r="C73">
        <v>7.1265244727925251E-4</v>
      </c>
      <c r="D73">
        <f>LOG10($B72)</f>
        <v>-4.2062096153091817</v>
      </c>
      <c r="E73">
        <v>43.761200000000002</v>
      </c>
      <c r="F73">
        <v>-79.270700000000005</v>
      </c>
      <c r="G73" s="1" t="s">
        <v>27</v>
      </c>
    </row>
    <row r="74" spans="1:7" x14ac:dyDescent="0.3">
      <c r="A74" s="1" t="s">
        <v>8</v>
      </c>
      <c r="B74">
        <v>6.05E-5</v>
      </c>
      <c r="C74">
        <v>3.1525561642788864E-3</v>
      </c>
      <c r="D74">
        <f>LOG10($B73)</f>
        <v>-4.2114781127775274</v>
      </c>
      <c r="E74">
        <v>43.787799999999997</v>
      </c>
      <c r="F74">
        <v>-79.156400000000005</v>
      </c>
      <c r="G74" s="1" t="s">
        <v>9</v>
      </c>
    </row>
    <row r="75" spans="1:7" x14ac:dyDescent="0.3">
      <c r="A75" s="1" t="s">
        <v>34</v>
      </c>
      <c r="B75">
        <v>5.9700000000000001E-5</v>
      </c>
      <c r="C75">
        <v>1.8360393786626692E-4</v>
      </c>
      <c r="D75">
        <f>LOG10($B74)</f>
        <v>-4.2182446253475314</v>
      </c>
      <c r="E75">
        <v>43.817700000000002</v>
      </c>
      <c r="F75">
        <v>-79.281899999999993</v>
      </c>
      <c r="G75" s="1" t="s">
        <v>35</v>
      </c>
    </row>
    <row r="76" spans="1:7" x14ac:dyDescent="0.3">
      <c r="A76" s="1" t="s">
        <v>166</v>
      </c>
      <c r="B76">
        <v>5.8999999999999998E-5</v>
      </c>
      <c r="C76">
        <v>3.8304533992849772E-3</v>
      </c>
      <c r="D76">
        <f>LOG10($B75)</f>
        <v>-4.224025668870631</v>
      </c>
      <c r="E76">
        <v>43.607500000000002</v>
      </c>
      <c r="F76">
        <v>-79.501300000000001</v>
      </c>
      <c r="G76" s="1" t="s">
        <v>167</v>
      </c>
    </row>
    <row r="77" spans="1:7" x14ac:dyDescent="0.3">
      <c r="A77" s="1" t="s">
        <v>190</v>
      </c>
      <c r="B77">
        <v>5.8999999999999998E-5</v>
      </c>
      <c r="C77">
        <v>1.9755851224025379E-4</v>
      </c>
      <c r="D77">
        <f>LOG10($B76)</f>
        <v>-4.2291479883578562</v>
      </c>
      <c r="E77">
        <v>43.689799999999998</v>
      </c>
      <c r="F77">
        <v>-79.558199999999999</v>
      </c>
      <c r="G77" s="1" t="s">
        <v>191</v>
      </c>
    </row>
    <row r="78" spans="1:7" x14ac:dyDescent="0.3">
      <c r="A78" s="1" t="s">
        <v>176</v>
      </c>
      <c r="B78">
        <v>5.8799999999999999E-5</v>
      </c>
      <c r="C78">
        <v>5.0297365925850858E-2</v>
      </c>
      <c r="D78">
        <f>LOG10($B77)</f>
        <v>-4.2291479883578562</v>
      </c>
      <c r="E78">
        <v>43.666200000000003</v>
      </c>
      <c r="F78">
        <v>-79.528199999999998</v>
      </c>
      <c r="G78" s="1" t="s">
        <v>177</v>
      </c>
    </row>
    <row r="79" spans="1:7" x14ac:dyDescent="0.3">
      <c r="A79" s="1" t="s">
        <v>58</v>
      </c>
      <c r="B79">
        <v>5.7000000000000003E-5</v>
      </c>
      <c r="C79">
        <v>6.2480018691012335E-4</v>
      </c>
      <c r="D79">
        <f>LOG10($B78)</f>
        <v>-4.2306226739238619</v>
      </c>
      <c r="E79">
        <v>43.744999999999997</v>
      </c>
      <c r="F79">
        <v>-79.358999999999995</v>
      </c>
      <c r="G79" s="1" t="s">
        <v>59</v>
      </c>
    </row>
    <row r="80" spans="1:7" x14ac:dyDescent="0.3">
      <c r="A80" s="1" t="s">
        <v>76</v>
      </c>
      <c r="B80">
        <v>5.6749999999999997E-5</v>
      </c>
      <c r="C80">
        <v>6.6602733458515681E-2</v>
      </c>
      <c r="D80">
        <f>LOG10($B79)</f>
        <v>-4.2441251443275085</v>
      </c>
      <c r="E80">
        <v>43.706299999999999</v>
      </c>
      <c r="F80">
        <v>-79.309399999999997</v>
      </c>
      <c r="G80" s="1" t="s">
        <v>77</v>
      </c>
    </row>
    <row r="81" spans="1:7" x14ac:dyDescent="0.3">
      <c r="A81" s="1" t="s">
        <v>178</v>
      </c>
      <c r="B81">
        <v>5.6400000000000002E-5</v>
      </c>
      <c r="C81">
        <v>0.10315461283271084</v>
      </c>
      <c r="D81">
        <f>LOG10($B80)</f>
        <v>-4.24603413413484</v>
      </c>
      <c r="E81">
        <v>43.650500000000001</v>
      </c>
      <c r="F81">
        <v>-79.551699999999997</v>
      </c>
      <c r="G81" s="1" t="s">
        <v>179</v>
      </c>
    </row>
    <row r="82" spans="1:7" x14ac:dyDescent="0.3">
      <c r="A82" s="1" t="s">
        <v>56</v>
      </c>
      <c r="B82">
        <v>5.5899999999999997E-5</v>
      </c>
      <c r="C82">
        <v>3.5925164088178148E-2</v>
      </c>
      <c r="D82">
        <f>LOG10($B81)</f>
        <v>-4.2487208960166578</v>
      </c>
      <c r="E82">
        <v>43.7545</v>
      </c>
      <c r="F82">
        <v>-79.33</v>
      </c>
      <c r="G82" s="1" t="s">
        <v>57</v>
      </c>
    </row>
    <row r="83" spans="1:7" x14ac:dyDescent="0.3">
      <c r="A83" s="1" t="s">
        <v>74</v>
      </c>
      <c r="B83">
        <v>5.5500000000000001E-5</v>
      </c>
      <c r="C83">
        <v>2.32891318690331E-4</v>
      </c>
      <c r="D83">
        <f>LOG10($B82)</f>
        <v>-4.2525881921135769</v>
      </c>
      <c r="E83">
        <v>43.727600000000002</v>
      </c>
      <c r="F83">
        <v>-79.314800000000005</v>
      </c>
      <c r="G83" s="1" t="s">
        <v>75</v>
      </c>
    </row>
    <row r="84" spans="1:7" x14ac:dyDescent="0.3">
      <c r="A84" s="1" t="s">
        <v>60</v>
      </c>
      <c r="B84">
        <v>5.49E-5</v>
      </c>
      <c r="C84">
        <v>3.5321809834718275E-4</v>
      </c>
      <c r="D84">
        <f>LOG10($B83)</f>
        <v>-4.2557070168773237</v>
      </c>
      <c r="E84">
        <v>43.733400000000003</v>
      </c>
      <c r="F84">
        <v>-79.332899999999995</v>
      </c>
      <c r="G84" s="1" t="s">
        <v>61</v>
      </c>
    </row>
    <row r="85" spans="1:7" x14ac:dyDescent="0.3">
      <c r="A85" s="1" t="s">
        <v>192</v>
      </c>
      <c r="B85">
        <v>5.435E-5</v>
      </c>
      <c r="C85">
        <v>5.518545711126208E-4</v>
      </c>
      <c r="D85">
        <f>LOG10($B84)</f>
        <v>-4.2604276555499077</v>
      </c>
      <c r="E85">
        <v>43.743200000000002</v>
      </c>
      <c r="F85">
        <v>-79.587599999999995</v>
      </c>
      <c r="G85" s="1" t="s">
        <v>193</v>
      </c>
    </row>
    <row r="86" spans="1:7" x14ac:dyDescent="0.3">
      <c r="A86" s="1" t="s">
        <v>174</v>
      </c>
      <c r="B86">
        <v>5.1799999999999999E-5</v>
      </c>
      <c r="C86">
        <v>5.6853068361386921E-4</v>
      </c>
      <c r="D86">
        <f>LOG10($B85)</f>
        <v>-4.2648004515776865</v>
      </c>
      <c r="E86">
        <v>43.625599999999999</v>
      </c>
      <c r="F86">
        <v>-79.523099999999999</v>
      </c>
      <c r="G86" s="1" t="s">
        <v>175</v>
      </c>
    </row>
    <row r="87" spans="1:7" x14ac:dyDescent="0.3">
      <c r="A87" s="1" t="s">
        <v>28</v>
      </c>
      <c r="B87">
        <v>5.1E-5</v>
      </c>
      <c r="C87">
        <v>1.6223908182888254E-3</v>
      </c>
      <c r="D87">
        <f>LOG10($B86)</f>
        <v>-4.2856702402547668</v>
      </c>
      <c r="E87">
        <v>43.750700000000002</v>
      </c>
      <c r="F87">
        <v>-79.300299999999993</v>
      </c>
      <c r="G87" s="1" t="s">
        <v>29</v>
      </c>
    </row>
    <row r="88" spans="1:7" x14ac:dyDescent="0.3">
      <c r="A88" s="1" t="s">
        <v>66</v>
      </c>
      <c r="B88">
        <v>5.0000000000000002E-5</v>
      </c>
      <c r="C88">
        <v>8.2660986027938903E-5</v>
      </c>
      <c r="D88">
        <f>LOG10($B87)</f>
        <v>-4.2924298239020633</v>
      </c>
      <c r="E88">
        <v>43.738999999999997</v>
      </c>
      <c r="F88">
        <v>-79.469200000000001</v>
      </c>
      <c r="G88" s="1" t="s">
        <v>67</v>
      </c>
    </row>
    <row r="89" spans="1:7" x14ac:dyDescent="0.3">
      <c r="A89" s="1" t="s">
        <v>154</v>
      </c>
      <c r="B89">
        <v>5.0000000000000002E-5</v>
      </c>
      <c r="C89">
        <v>1.0891094276316501E-2</v>
      </c>
      <c r="D89">
        <f>LOG10($B88)</f>
        <v>-4.3010299956639813</v>
      </c>
      <c r="E89">
        <v>43.713700000000003</v>
      </c>
      <c r="F89">
        <v>-79.486900000000006</v>
      </c>
      <c r="G89" s="1" t="s">
        <v>155</v>
      </c>
    </row>
    <row r="90" spans="1:7" x14ac:dyDescent="0.3">
      <c r="A90" s="1" t="s">
        <v>44</v>
      </c>
      <c r="B90">
        <v>3.18E-5</v>
      </c>
      <c r="C90">
        <v>5.840863256575228E-4</v>
      </c>
      <c r="D90">
        <f>LOG10($B89)</f>
        <v>-4.3010299956639813</v>
      </c>
      <c r="E90">
        <v>43.779699999999998</v>
      </c>
      <c r="F90">
        <v>-79.381299999999996</v>
      </c>
      <c r="G90" s="1" t="s">
        <v>45</v>
      </c>
    </row>
    <row r="91" spans="1:7" x14ac:dyDescent="0.3">
      <c r="A91" s="1" t="s">
        <v>18</v>
      </c>
      <c r="B91">
        <v>3.0000000000000001E-5</v>
      </c>
      <c r="C91">
        <v>9.7794679698553436E-4</v>
      </c>
      <c r="D91">
        <f>LOG10($B90)</f>
        <v>-4.497572880015567</v>
      </c>
      <c r="E91">
        <v>43.729799999999997</v>
      </c>
      <c r="F91">
        <v>-79.263900000000007</v>
      </c>
      <c r="G91" s="1" t="s">
        <v>19</v>
      </c>
    </row>
    <row r="92" spans="1:7" x14ac:dyDescent="0.3">
      <c r="A92" s="1" t="s">
        <v>14</v>
      </c>
      <c r="B92">
        <v>1.0000000000000001E-5</v>
      </c>
      <c r="C92">
        <v>1.8329187176852727E-4</v>
      </c>
      <c r="D92">
        <f>LOG10($B91)</f>
        <v>-4.5228787452803374</v>
      </c>
      <c r="E92">
        <v>43.768599999999999</v>
      </c>
      <c r="F92">
        <v>-79.238900000000001</v>
      </c>
      <c r="G92" s="1" t="s">
        <v>15</v>
      </c>
    </row>
    <row r="93" spans="1:7" x14ac:dyDescent="0.3">
      <c r="A93" s="1" t="s">
        <v>36</v>
      </c>
      <c r="B93">
        <v>1.0000000000000001E-5</v>
      </c>
      <c r="C93">
        <v>4.4835596653470852E-5</v>
      </c>
      <c r="D93">
        <f>LOG10($B92)</f>
        <v>-5</v>
      </c>
      <c r="E93">
        <v>43.801600000000001</v>
      </c>
      <c r="F93">
        <v>-79.321600000000004</v>
      </c>
      <c r="G93" s="1" t="s">
        <v>37</v>
      </c>
    </row>
    <row r="94" spans="1:7" x14ac:dyDescent="0.3">
      <c r="A94" s="1" t="s">
        <v>40</v>
      </c>
      <c r="B94">
        <v>1.0000000000000001E-5</v>
      </c>
      <c r="C94">
        <v>5.1966027657902338E-4</v>
      </c>
      <c r="D94">
        <f>LOG10($B93)</f>
        <v>-5</v>
      </c>
      <c r="E94">
        <v>43.801499999999997</v>
      </c>
      <c r="F94">
        <v>-79.357699999999994</v>
      </c>
      <c r="G94" s="1" t="s">
        <v>41</v>
      </c>
    </row>
    <row r="95" spans="1:7" x14ac:dyDescent="0.3">
      <c r="A95" s="1" t="s">
        <v>68</v>
      </c>
      <c r="B95">
        <v>1.0000000000000001E-5</v>
      </c>
      <c r="C95">
        <v>1.5234535538601862E-4</v>
      </c>
      <c r="D95">
        <f>LOG10($B94)</f>
        <v>-5</v>
      </c>
      <c r="E95">
        <v>43.733400000000003</v>
      </c>
      <c r="F95">
        <v>-79.511600000000001</v>
      </c>
      <c r="G95" s="1" t="s">
        <v>69</v>
      </c>
    </row>
    <row r="96" spans="1:7" x14ac:dyDescent="0.3">
      <c r="A96" s="1" t="s">
        <v>138</v>
      </c>
      <c r="B96">
        <v>1.0000000000000001E-5</v>
      </c>
      <c r="C96">
        <v>2.7379437989134668E-4</v>
      </c>
      <c r="D96">
        <f>LOG10($B95)</f>
        <v>-5</v>
      </c>
      <c r="E96">
        <v>43.722299999999997</v>
      </c>
      <c r="F96">
        <v>-79.450400000000002</v>
      </c>
      <c r="G96" s="1" t="s">
        <v>139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1AA-A4BB-4C9C-8DFF-32247425FE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579D55-220B-45E3-9A8C-F1990ECEA4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Lead_Sample_cleaned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Anjishnu Bose</dc:creator>
  <cp:lastModifiedBy>Anjishnu Bose</cp:lastModifiedBy>
  <cp:lastPrinted>2025-05-08T23:03:47Z</cp:lastPrinted>
  <dcterms:created xsi:type="dcterms:W3CDTF">2025-05-08T21:51:14Z</dcterms:created>
  <dcterms:modified xsi:type="dcterms:W3CDTF">2025-05-08T23:04:27Z</dcterms:modified>
</cp:coreProperties>
</file>